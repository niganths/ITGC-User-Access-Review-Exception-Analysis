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an\Downloads\ITGC\"/>
    </mc:Choice>
  </mc:AlternateContent>
  <xr:revisionPtr revIDLastSave="0" documentId="13_ncr:1_{0CE59B73-E16C-41B5-B63F-902CFC3F51D8}" xr6:coauthVersionLast="47" xr6:coauthVersionMax="47" xr10:uidLastSave="{00000000-0000-0000-0000-000000000000}"/>
  <bookViews>
    <workbookView xWindow="-108" yWindow="-108" windowWidth="23256" windowHeight="13176" activeTab="4" xr2:uid="{D4241753-AFE5-4E26-A6E8-EAEF3B892C39}"/>
  </bookViews>
  <sheets>
    <sheet name="Control_Matrix" sheetId="1" r:id="rId1"/>
    <sheet name="Exception_Register" sheetId="2" r:id="rId2"/>
    <sheet name="Exception_Detail" sheetId="4" r:id="rId3"/>
    <sheet name="Management_Summary" sheetId="5" r:id="rId4"/>
    <sheet name="Notes_Legend" sheetId="3" r:id="rId5"/>
  </sheets>
  <externalReferences>
    <externalReference r:id="rId6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5" l="1"/>
  <c r="H21" i="5"/>
  <c r="H20" i="5"/>
  <c r="H19" i="5"/>
  <c r="H18" i="5"/>
  <c r="C12" i="5"/>
  <c r="C13" i="5" s="1"/>
  <c r="F11" i="2"/>
  <c r="O10" i="2"/>
  <c r="O9" i="2"/>
  <c r="O8" i="2"/>
  <c r="O7" i="2"/>
  <c r="O6" i="2"/>
  <c r="O5" i="2"/>
  <c r="D23" i="5" l="1"/>
  <c r="H17" i="5"/>
  <c r="D13" i="5" l="1"/>
</calcChain>
</file>

<file path=xl/sharedStrings.xml><?xml version="1.0" encoding="utf-8"?>
<sst xmlns="http://schemas.openxmlformats.org/spreadsheetml/2006/main" count="1046" uniqueCount="288">
  <si>
    <t>ITGC Control Matrix</t>
  </si>
  <si>
    <t>Control ID</t>
  </si>
  <si>
    <t>Control Area</t>
  </si>
  <si>
    <t>Control Objective</t>
  </si>
  <si>
    <t>Criteria / Policy</t>
  </si>
  <si>
    <t>Test Procedure</t>
  </si>
  <si>
    <t>Test Type</t>
  </si>
  <si>
    <t>Test Ref</t>
  </si>
  <si>
    <t>Population (n)</t>
  </si>
  <si>
    <t>Population Basis</t>
  </si>
  <si>
    <t>Exceptions</t>
  </si>
  <si>
    <t>Exception Rate</t>
  </si>
  <si>
    <t>Affected Users</t>
  </si>
  <si>
    <t>Risk</t>
  </si>
  <si>
    <t>Conclusion</t>
  </si>
  <si>
    <t>Recommendation</t>
  </si>
  <si>
    <t>C01</t>
  </si>
  <si>
    <t>User Access Management</t>
  </si>
  <si>
    <t>Terminated employees should not retain active system access</t>
  </si>
  <si>
    <t>Access disabled on or before termination date (HR record is source of truth)</t>
  </si>
  <si>
    <t>Join HR employee status to user account status and identify Terminated + Active accounts</t>
  </si>
  <si>
    <t>Full population (SQL)</t>
  </si>
  <si>
    <t>Q-C01</t>
  </si>
  <si>
    <t>All user accounts (replace with accounts of terminated employees)</t>
  </si>
  <si>
    <t>High</t>
  </si>
  <si>
    <t>Exception identified</t>
  </si>
  <si>
    <t>Disable accounts immediately; review post-termination activity; strengthen HR-to-IAM deprovisioning workflow.</t>
  </si>
  <si>
    <t>C02</t>
  </si>
  <si>
    <t>Privileged Access</t>
  </si>
  <si>
    <t>Privileged access should have completed approval evidence</t>
  </si>
  <si>
    <t>Privileged roles require documented approval before assignment</t>
  </si>
  <si>
    <t>Filter privileged role assignments where Approval_Status is not Approved</t>
  </si>
  <si>
    <t>Q-C02</t>
  </si>
  <si>
    <t>All role assignments (replace with privileged role assignments)</t>
  </si>
  <si>
    <t>Validate approval evidence; remove or approve access; perform periodic privileged-access recertification.</t>
  </si>
  <si>
    <t>C03</t>
  </si>
  <si>
    <t>Role Appropriateness</t>
  </si>
  <si>
    <t>Assigned roles should align with approved job-title access matrix</t>
  </si>
  <si>
    <t>Approved job-title access matrix (45 rules)</t>
  </si>
  <si>
    <t>Left join role assignments to Access_Matrix on Job_Title + Role and flag non-matches</t>
  </si>
  <si>
    <t>Q-C03</t>
  </si>
  <si>
    <t>Role assignments</t>
  </si>
  <si>
    <t>Medium</t>
  </si>
  <si>
    <t>Review business justification; remove or correct unauthorized roles; maintain job-based access matrix.</t>
  </si>
  <si>
    <t>C04</t>
  </si>
  <si>
    <t>Segregation of Duties</t>
  </si>
  <si>
    <t>Users should not hold incompatible role combinations</t>
  </si>
  <si>
    <t>Segregation-of-duties rule set (12 rules)</t>
  </si>
  <si>
    <t>Compare user role combinations against the SoD rules</t>
  </si>
  <si>
    <t>Q-C04</t>
  </si>
  <si>
    <t>Remove conflicting roles or document approved compensating controls and re-test.</t>
  </si>
  <si>
    <t>C05a</t>
  </si>
  <si>
    <t>Password Policy</t>
  </si>
  <si>
    <t>Passwords should be changed within the policy window</t>
  </si>
  <si>
    <t>Maximum password age of 90 days</t>
  </si>
  <si>
    <t>Flag accounts with password age over 90 days; deduplicate by User_ID</t>
  </si>
  <si>
    <t>Q-C05a</t>
  </si>
  <si>
    <t>User accounts</t>
  </si>
  <si>
    <t>Force password resets for overdue accounts; monitor closure.</t>
  </si>
  <si>
    <t>C05b</t>
  </si>
  <si>
    <t>MFA</t>
  </si>
  <si>
    <t>MFA should be enabled for all users</t>
  </si>
  <si>
    <t>MFA required on all user accounts</t>
  </si>
  <si>
    <t>Flag accounts with MFA = No; deduplicate by User_ID</t>
  </si>
  <si>
    <t>Q-C05b</t>
  </si>
  <si>
    <t>Enable MFA and track remediation to closure.</t>
  </si>
  <si>
    <t>Total</t>
  </si>
  <si>
    <t>Population (n) is the denominator for the exception rate. C01 and C02 currently use total accounts / role assignments.</t>
  </si>
  <si>
    <t>Exception Register</t>
  </si>
  <si>
    <t>Exception ID</t>
  </si>
  <si>
    <t>Control</t>
  </si>
  <si>
    <t>Exception Description</t>
  </si>
  <si>
    <t>Exception Count</t>
  </si>
  <si>
    <t>Priority</t>
  </si>
  <si>
    <t>Recommended Action</t>
  </si>
  <si>
    <t>Owner</t>
  </si>
  <si>
    <t>Status</t>
  </si>
  <si>
    <t>Management Response</t>
  </si>
  <si>
    <t>Target Date</t>
  </si>
  <si>
    <t>Evidence Rows</t>
  </si>
  <si>
    <t>Evidence Check</t>
  </si>
  <si>
    <t>EX-001</t>
  </si>
  <si>
    <t>Terminated employees retain active system accounts</t>
  </si>
  <si>
    <t>Immediate</t>
  </si>
  <si>
    <t>Disable accounts; review login activity; improve termination-to-deprovisioning workflow</t>
  </si>
  <si>
    <t>IAM / IT Operations</t>
  </si>
  <si>
    <t>Open</t>
  </si>
  <si>
    <t>Pending (simulation)</t>
  </si>
  <si>
    <t>EX-002</t>
  </si>
  <si>
    <t>Privileged role assignments lack completed approval evidence</t>
  </si>
  <si>
    <t>Validate approval or remove access; recertify privileged roles</t>
  </si>
  <si>
    <t>IAM / Business Owners</t>
  </si>
  <si>
    <t>EX-003</t>
  </si>
  <si>
    <t>Assigned roles are not permitted for the user's job title</t>
  </si>
  <si>
    <t>Review business justification and remove/correct inappropriate roles</t>
  </si>
  <si>
    <t>IAM / HR / Business Owners</t>
  </si>
  <si>
    <t>EX-004</t>
  </si>
  <si>
    <t>Users hold conflicting role combinations defined in SOD rules</t>
  </si>
  <si>
    <t>Role assignments / SOD rules</t>
  </si>
  <si>
    <t>Remove conflicting access or document compensating controls</t>
  </si>
  <si>
    <t>IAM / Process Owners</t>
  </si>
  <si>
    <t>EX-005</t>
  </si>
  <si>
    <t>Passwords were not changed within the 90-day policy window</t>
  </si>
  <si>
    <t>Force password reset and monitor compliance</t>
  </si>
  <si>
    <t>IT Security / IAM</t>
  </si>
  <si>
    <t>EX-006</t>
  </si>
  <si>
    <t>MFA is not enabled for affected accounts</t>
  </si>
  <si>
    <t>Enable MFA and track remediation to closure</t>
  </si>
  <si>
    <t>Risk is pulled from Control_Matrix so ratings cannot drift. Target Date = report date + SLA for the priority.</t>
  </si>
  <si>
    <t>Notes, Inputs &amp; Legend</t>
  </si>
  <si>
    <t>Input</t>
  </si>
  <si>
    <t>Value</t>
  </si>
  <si>
    <t>Source / note</t>
  </si>
  <si>
    <t>Report date</t>
  </si>
  <si>
    <t>Assumed date of this review; drives target dates. Edit as needed.</t>
  </si>
  <si>
    <t>Employees in scope</t>
  </si>
  <si>
    <t>From original workbook (synthetic HR data).</t>
  </si>
  <si>
    <t>From original workbook.</t>
  </si>
  <si>
    <t>SoD rules</t>
  </si>
  <si>
    <t>Access-matrix rules</t>
  </si>
  <si>
    <t>SLA (days)</t>
  </si>
  <si>
    <t>Meaning</t>
  </si>
  <si>
    <t>Remediate within a week; direct access-security or fraud exposure.</t>
  </si>
  <si>
    <t>Remediate within a month.</t>
  </si>
  <si>
    <t>Plan remediation within two months.</t>
  </si>
  <si>
    <t>Risk rating</t>
  </si>
  <si>
    <t>Definition</t>
  </si>
  <si>
    <t>Could allow unauthorised access, fraud or control bypass on financial-reporting systems without further conditions.</t>
  </si>
  <si>
    <t>Weakens a control or raises exposure, but needs additional conditions to be exploited.</t>
  </si>
  <si>
    <t>Low</t>
  </si>
  <si>
    <t>Minor deviation with limited impact.</t>
  </si>
  <si>
    <t>Methodology &amp; assumptions</t>
  </si>
  <si>
    <t>1. All data is synthetic and the exceptions were seeded deliberately for a self-initiated simulation. No real client data was used.</t>
  </si>
  <si>
    <t>2. Exceptions are counted per instance. C01, C05a and C05b count user accounts; C02-C04 count role assignments, so the 128 total mixes units and is not 128 distinct users.</t>
  </si>
  <si>
    <t>3. The original workbook reported 32 de-duplicated users for password/MFA (6 password-age + 26 MFA). Re-confirm there is no overlap if the test is re-run.</t>
  </si>
  <si>
    <t>4. Populations for C01 and C02 use all accounts / all role assignments. Replace with accounts of terminated employees (C01) and privileged role assignments (C02) for the true exception rate.</t>
  </si>
  <si>
    <t>5. Counts, owners, controls and recommendations come from the original workbook. Added in this version: exception rates, test references, criteria, target dates, evidence checks and formula links.</t>
  </si>
  <si>
    <t>6. Exception_Detail is pre-numbered with one row per exception instance. Paste User_IDs from your SQL output into column D; Exception_Register 'Evidence Check' turns OK when counts match.</t>
  </si>
  <si>
    <t xml:space="preserve">   Example row: D5 = U0042 | E5 = ERP_Approver (Finance) | G5 = 28-Oct-2026 | H5 = Terminated 14-Aug-2026, last login 02-Sep-2026.</t>
  </si>
  <si>
    <t>7. Risk ratings now use High / Medium / Low only. C03 (role mismatch) and C05a (password age) were moved to Medium so that ratings separate the findings.</t>
  </si>
  <si>
    <t>Exception Detail (evidence list)</t>
  </si>
  <si>
    <t>User_ID</t>
  </si>
  <si>
    <t>Role / Account Detail</t>
  </si>
  <si>
    <t>Date Tested</t>
  </si>
  <si>
    <t>Comments</t>
  </si>
  <si>
    <t>Total exceptions</t>
  </si>
  <si>
    <t>Register items</t>
  </si>
  <si>
    <t>Count</t>
  </si>
  <si>
    <t>Share</t>
  </si>
  <si>
    <t>Population</t>
  </si>
  <si>
    <t>Decision</t>
  </si>
  <si>
    <t>Primary remediation</t>
  </si>
  <si>
    <t>Disable terminated-user accounts</t>
  </si>
  <si>
    <t>Validate privileged approvals</t>
  </si>
  <si>
    <t>Correct role mismatches</t>
  </si>
  <si>
    <t>Resolve SoD conflicts</t>
  </si>
  <si>
    <t>Reset overdue passwords</t>
  </si>
  <si>
    <t>Enable MFA</t>
  </si>
  <si>
    <t>Reconciliation check</t>
  </si>
  <si>
    <t>Result</t>
  </si>
  <si>
    <t>Control total = register total</t>
  </si>
  <si>
    <t>Risk counts = register items</t>
  </si>
  <si>
    <t>Priority counts = register items</t>
  </si>
  <si>
    <t>Dashboard total = control total</t>
  </si>
  <si>
    <t>Exceptions with evidence loaded</t>
  </si>
  <si>
    <t xml:space="preserve">ITGC User Access Review - Management Summary </t>
  </si>
  <si>
    <t>U039</t>
  </si>
  <si>
    <t>Active account - Salesforce</t>
  </si>
  <si>
    <t>U045</t>
  </si>
  <si>
    <t>U070</t>
  </si>
  <si>
    <t>Active account - SAP</t>
  </si>
  <si>
    <t>U080</t>
  </si>
  <si>
    <t>Active account - Workday</t>
  </si>
  <si>
    <t>U082</t>
  </si>
  <si>
    <t>U085</t>
  </si>
  <si>
    <t>U034</t>
  </si>
  <si>
    <t>Change_Manager</t>
  </si>
  <si>
    <t>U041</t>
  </si>
  <si>
    <t>System_Admin</t>
  </si>
  <si>
    <t>U067</t>
  </si>
  <si>
    <t>Contract_Manager</t>
  </si>
  <si>
    <t>U069</t>
  </si>
  <si>
    <t>U079</t>
  </si>
  <si>
    <t>Supplier_Admin</t>
  </si>
  <si>
    <t>U091</t>
  </si>
  <si>
    <t>U098</t>
  </si>
  <si>
    <t>Purchase_Order_Approver</t>
  </si>
  <si>
    <t>U113</t>
  </si>
  <si>
    <t>Employee_Data_Admin</t>
  </si>
  <si>
    <t>U114</t>
  </si>
  <si>
    <t>Payroll_Admin</t>
  </si>
  <si>
    <t>U123</t>
  </si>
  <si>
    <t>U131</t>
  </si>
  <si>
    <t>U217</t>
  </si>
  <si>
    <t>Production_Admin</t>
  </si>
  <si>
    <t>U002</t>
  </si>
  <si>
    <t>Read_Only_Auditor</t>
  </si>
  <si>
    <t>U004</t>
  </si>
  <si>
    <t>U007</t>
  </si>
  <si>
    <t>U011</t>
  </si>
  <si>
    <t>U020</t>
  </si>
  <si>
    <t>U021</t>
  </si>
  <si>
    <t>U023</t>
  </si>
  <si>
    <t>U024</t>
  </si>
  <si>
    <t>U031</t>
  </si>
  <si>
    <t>U032</t>
  </si>
  <si>
    <t>U033</t>
  </si>
  <si>
    <t>U001</t>
  </si>
  <si>
    <t>Vendor_Master_Admin</t>
  </si>
  <si>
    <t>Accounts_Payable</t>
  </si>
  <si>
    <t>Payment_Admin</t>
  </si>
  <si>
    <t>U003</t>
  </si>
  <si>
    <t>U037</t>
  </si>
  <si>
    <t>Database_Admin</t>
  </si>
  <si>
    <t>U038</t>
  </si>
  <si>
    <t>U068</t>
  </si>
  <si>
    <t>U005</t>
  </si>
  <si>
    <t>Data_Export_Admin</t>
  </si>
  <si>
    <t>Security_Admin</t>
  </si>
  <si>
    <t>U006</t>
  </si>
  <si>
    <t>U043</t>
  </si>
  <si>
    <t>U010</t>
  </si>
  <si>
    <t>U018</t>
  </si>
  <si>
    <t>U019</t>
  </si>
  <si>
    <t>U022</t>
  </si>
  <si>
    <t>U027</t>
  </si>
  <si>
    <t>U028</t>
  </si>
  <si>
    <t>U030</t>
  </si>
  <si>
    <t>U071</t>
  </si>
  <si>
    <t>U072</t>
  </si>
  <si>
    <t>U076</t>
  </si>
  <si>
    <t>U077</t>
  </si>
  <si>
    <t>Accounts_Payable + Vendor_Master_Admin</t>
  </si>
  <si>
    <t>Accounts_Payable + Payment_Admin</t>
  </si>
  <si>
    <t>General_Ledger + Payment_Admin</t>
  </si>
  <si>
    <t>Change_Manager + Production_Admin</t>
  </si>
  <si>
    <t>Developer + Production_Admin</t>
  </si>
  <si>
    <t>Contract_Manager + Supplier_Admin</t>
  </si>
  <si>
    <t>Procurement_User + Purchase_Order_Approver</t>
  </si>
  <si>
    <t>U101</t>
  </si>
  <si>
    <t>HR_User + Payroll_Admin</t>
  </si>
  <si>
    <t>U103</t>
  </si>
  <si>
    <t>HR_Admin + Payroll_Admin</t>
  </si>
  <si>
    <t>U115</t>
  </si>
  <si>
    <t>Payroll_Admin + HR_User</t>
  </si>
  <si>
    <t>U211</t>
  </si>
  <si>
    <t>U218</t>
  </si>
  <si>
    <t>Payroll_Admin + HR_Admin</t>
  </si>
  <si>
    <t>Vendor_Master_Admin + Payment_Admin</t>
  </si>
  <si>
    <t>Developer + Database_Admin</t>
  </si>
  <si>
    <t>Supplier_Admin + Purchase_Order_Approver</t>
  </si>
  <si>
    <t>U102</t>
  </si>
  <si>
    <t>Purchase_Order_Approver + Supplier_Admin</t>
  </si>
  <si>
    <t>Password &gt;90 days</t>
  </si>
  <si>
    <t>U012</t>
  </si>
  <si>
    <t>U013</t>
  </si>
  <si>
    <t>U014</t>
  </si>
  <si>
    <t>U015</t>
  </si>
  <si>
    <t>U016</t>
  </si>
  <si>
    <t>MFA not enabled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</si>
  <si>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</si>
  <si>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</si>
  <si>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</si>
  <si>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</si>
  <si>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</si>
  <si>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</si>
  <si>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</si>
  <si>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</si>
  <si>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</si>
  <si>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</si>
  <si>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</si>
  <si>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</si>
  <si>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</si>
  <si>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</si>
  <si>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</si>
  <si>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</si>
  <si>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</si>
  <si>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</si>
  <si>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</si>
  <si>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</si>
  <si>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Active account retained after employee termination.</t>
  </si>
  <si>
    <t>Privileged role assigned without approved access evidence.</t>
  </si>
  <si>
    <t>Role is not permitted for the user's job title and system.</t>
  </si>
  <si>
    <t>Conflicting role combination identified under the SoD rule.</t>
  </si>
  <si>
    <t>Password was not changed within the required 90-day period.</t>
  </si>
  <si>
    <t>MFA is not enabled for the account.</t>
  </si>
  <si>
    <t>OK</t>
  </si>
  <si>
    <t>0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</si>
</sst>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yyyy\-mm\-dd"/>
  </numFmts>
  <fonts count="19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4" tint="-0.499984740745262"/>
      <name val="Times New Roman"/>
      <family val="1"/>
    </font>
    <font>
      <sz val="12"/>
      <color theme="1"/>
      <name val="Times New Roman"/>
      <family val="1"/>
    </font>
    <font>
      <sz val="24"/>
      <color theme="4" tint="-0.499984740745262"/>
      <name val="Times New Roman"/>
      <family val="1"/>
    </font>
    <font>
      <sz val="12"/>
      <color theme="9"/>
      <name val="Times New Roman"/>
      <family val="1"/>
    </font>
    <font>
      <b/>
      <sz val="12"/>
      <color theme="1"/>
      <name val="Times New Roman"/>
      <family val="1"/>
    </font>
    <font>
      <b/>
      <sz val="16"/>
      <color rgb="FF1F386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8000"/>
      <name val="Times New Roman"/>
      <family val="1"/>
    </font>
    <font>
      <i/>
      <sz val="11"/>
      <color rgb="FF595959"/>
      <name val="Times New Roman"/>
      <family val="1"/>
    </font>
    <font>
      <b/>
      <sz val="12"/>
      <color theme="3" tint="-0.499984740745262"/>
      <name val="Times New Roman"/>
      <family val="1"/>
    </font>
    <font>
      <b/>
      <sz val="16"/>
      <color theme="3" tint="-0.499984740745262"/>
      <name val="Times New Roman"/>
      <family val="1"/>
    </font>
    <font>
      <sz val="12"/>
      <color theme="3" tint="-0.499984740745262"/>
      <name val="Times New Roman"/>
      <family val="1"/>
    </font>
    <font>
      <b/>
      <sz val="20"/>
      <color theme="3" tint="-0.499984740745262"/>
      <name val="Times New Roman"/>
      <family val="1"/>
    </font>
    <font>
      <b/>
      <sz val="14"/>
      <color theme="3" tint="-0.499984740745262"/>
      <name val="Times New Roman"/>
      <family val="1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75B"/>
        <bgColor indexed="64"/>
      </patternFill>
    </fill>
    <fill>
      <patternFill patternType="solid">
        <fgColor rgb="FFD9E1F2"/>
        <bgColor rgb="FFD9D9D9"/>
      </patternFill>
    </fill>
    <fill>
      <patternFill patternType="solid">
        <fgColor theme="8" tint="0.59999389629810485"/>
        <bgColor rgb="FF333333"/>
      </patternFill>
    </fill>
    <fill>
      <patternFill patternType="solid">
        <fgColor theme="8" tint="0.59999389629810485"/>
        <bgColor rgb="FFD9D9D9"/>
      </patternFill>
    </fill>
    <fill>
      <patternFill patternType="solid">
        <fgColor rgb="FFFF575B"/>
        <bgColor rgb="FFD9D9D9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8" tint="0.39997558519241921"/>
        <bgColor rgb="FF333333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5" fillId="2" borderId="0" xfId="0" applyFont="1" applyFill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10" fontId="4" fillId="0" borderId="2" xfId="0" applyNumberFormat="1" applyFont="1" applyBorder="1"/>
    <xf numFmtId="10" fontId="4" fillId="0" borderId="3" xfId="0" applyNumberFormat="1" applyFont="1" applyBorder="1"/>
    <xf numFmtId="10" fontId="4" fillId="0" borderId="4" xfId="0" applyNumberFormat="1" applyFont="1" applyBorder="1"/>
    <xf numFmtId="0" fontId="7" fillId="5" borderId="2" xfId="0" applyFont="1" applyFill="1" applyBorder="1"/>
    <xf numFmtId="0" fontId="7" fillId="5" borderId="3" xfId="0" applyFont="1" applyFill="1" applyBorder="1"/>
    <xf numFmtId="0" fontId="4" fillId="5" borderId="3" xfId="0" applyFont="1" applyFill="1" applyBorder="1"/>
    <xf numFmtId="0" fontId="7" fillId="5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top" wrapText="1"/>
    </xf>
    <xf numFmtId="0" fontId="10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164" fontId="11" fillId="0" borderId="8" xfId="0" applyNumberFormat="1" applyFont="1" applyBorder="1" applyAlignment="1">
      <alignment horizontal="center" vertical="top" wrapText="1"/>
    </xf>
    <xf numFmtId="0" fontId="9" fillId="6" borderId="8" xfId="0" applyFont="1" applyFill="1" applyBorder="1" applyAlignment="1">
      <alignment vertical="top" wrapText="1"/>
    </xf>
    <xf numFmtId="0" fontId="9" fillId="6" borderId="8" xfId="0" applyFont="1" applyFill="1" applyBorder="1" applyAlignment="1">
      <alignment horizontal="center" vertical="top" wrapText="1"/>
    </xf>
    <xf numFmtId="0" fontId="12" fillId="0" borderId="0" xfId="0" applyFont="1"/>
    <xf numFmtId="0" fontId="13" fillId="7" borderId="8" xfId="0" applyFont="1" applyFill="1" applyBorder="1" applyAlignment="1">
      <alignment horizontal="center"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8" borderId="9" xfId="0" applyFont="1" applyFill="1" applyBorder="1" applyAlignment="1">
      <alignment vertical="top" wrapText="1"/>
    </xf>
    <xf numFmtId="0" fontId="9" fillId="8" borderId="10" xfId="0" applyFont="1" applyFill="1" applyBorder="1" applyAlignment="1">
      <alignment vertical="top" wrapText="1"/>
    </xf>
    <xf numFmtId="0" fontId="9" fillId="6" borderId="10" xfId="0" applyFont="1" applyFill="1" applyBorder="1" applyAlignment="1">
      <alignment vertical="top" wrapText="1"/>
    </xf>
    <xf numFmtId="0" fontId="9" fillId="6" borderId="11" xfId="0" applyFont="1" applyFill="1" applyBorder="1" applyAlignment="1">
      <alignment vertical="top" wrapText="1"/>
    </xf>
    <xf numFmtId="0" fontId="7" fillId="0" borderId="0" xfId="0" applyFont="1"/>
    <xf numFmtId="0" fontId="14" fillId="2" borderId="0" xfId="0" applyFont="1" applyFill="1" applyAlignment="1">
      <alignment vertical="center"/>
    </xf>
    <xf numFmtId="0" fontId="15" fillId="10" borderId="8" xfId="0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0" fontId="13" fillId="12" borderId="8" xfId="0" applyFont="1" applyFill="1" applyBorder="1" applyAlignment="1">
      <alignment horizontal="center" vertical="top" wrapText="1"/>
    </xf>
    <xf numFmtId="9" fontId="10" fillId="0" borderId="8" xfId="0" applyNumberFormat="1" applyFont="1" applyBorder="1" applyAlignment="1">
      <alignment horizontal="center" vertical="top" wrapText="1"/>
    </xf>
    <xf numFmtId="9" fontId="9" fillId="6" borderId="8" xfId="0" applyNumberFormat="1" applyFont="1" applyFill="1" applyBorder="1" applyAlignment="1">
      <alignment horizontal="center" vertical="top" wrapText="1"/>
    </xf>
    <xf numFmtId="0" fontId="16" fillId="13" borderId="0" xfId="0" applyFont="1" applyFill="1" applyAlignment="1">
      <alignment vertical="center"/>
    </xf>
    <xf numFmtId="3" fontId="17" fillId="0" borderId="8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 vertical="top" wrapText="1"/>
    </xf>
    <xf numFmtId="0" fontId="15" fillId="0" borderId="8" xfId="0" applyFont="1" applyBorder="1" applyAlignment="1">
      <alignment vertical="top" wrapText="1"/>
    </xf>
    <xf numFmtId="3" fontId="15" fillId="0" borderId="8" xfId="0" applyNumberFormat="1" applyFont="1" applyBorder="1" applyAlignment="1">
      <alignment horizontal="center" vertical="top" wrapText="1"/>
    </xf>
    <xf numFmtId="165" fontId="15" fillId="0" borderId="8" xfId="0" applyNumberFormat="1" applyFont="1" applyBorder="1" applyAlignment="1">
      <alignment horizontal="center" vertical="top" wrapText="1"/>
    </xf>
    <xf numFmtId="0" fontId="18" fillId="14" borderId="8" xfId="0" applyFont="1" applyFill="1" applyBorder="1" applyAlignment="1">
      <alignment vertical="top" wrapText="1"/>
    </xf>
    <xf numFmtId="166" fontId="18" fillId="14" borderId="0" xfId="0" applyNumberFormat="1" applyFont="1" applyFill="1" applyAlignment="1">
      <alignment vertical="top" wrapText="1"/>
    </xf>
    <xf numFmtId="0" fontId="18" fillId="14" borderId="0" xfId="0" applyFont="1" applyFill="1" applyAlignment="1">
      <alignment vertical="top" wrapText="1"/>
    </xf>
    <xf numFmtId="1" fontId="15" fillId="11" borderId="8" xfId="0" applyNumberFormat="1" applyFont="1" applyFill="1" applyBorder="1" applyAlignment="1">
      <alignment horizontal="center"/>
    </xf>
    <xf numFmtId="164" fontId="15" fillId="11" borderId="8" xfId="0" applyNumberFormat="1" applyFont="1" applyFill="1" applyBorder="1" applyAlignment="1">
      <alignment horizontal="center"/>
    </xf>
    <xf numFmtId="0" fontId="15" fillId="11" borderId="8" xfId="0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mruColors>
      <color rgb="FFFF575B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Management_Summary!$D$16</c:f>
              <c:strCache>
                <c:ptCount val="1"/>
                <c:pt idx="0">
                  <c:v>Exceptions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Management_Summary!$D$17:$D$22</c:f>
              <c:numCache>
                <c:formatCode>General</c:formatCode>
                <c:ptCount val="6"/>
                <c:pt idx="0">
                  <c:v>6</c:v>
                </c:pt>
                <c:pt idx="1">
                  <c:v>14</c:v>
                </c:pt>
                <c:pt idx="2">
                  <c:v>46</c:v>
                </c:pt>
                <c:pt idx="3">
                  <c:v>30</c:v>
                </c:pt>
                <c:pt idx="4">
                  <c:v>6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9-4AF4-BCA8-5ECF5984B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67381856"/>
        <c:axId val="1856925648"/>
      </c:barChart>
      <c:catAx>
        <c:axId val="196738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925648"/>
        <c:crosses val="autoZero"/>
        <c:auto val="1"/>
        <c:lblAlgn val="ctr"/>
        <c:lblOffset val="100"/>
        <c:noMultiLvlLbl val="0"/>
      </c:catAx>
      <c:valAx>
        <c:axId val="185692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8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518949</xdr:colOff>
      <xdr:row>24</xdr:row>
      <xdr:rowOff>191814</xdr:rowOff>
    </xdr:from>
    <xdr:to>
      <xdr:col>9</xdr:col>
      <xdr:colOff>13138</xdr:colOff>
      <xdr:row>34</xdr:row>
      <xdr:rowOff>157655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FCCAF-6BD6-08BD-D4C3-B1546304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gan\Downloads\ITGC\ITGC_Exception_Register_v2.xlsx" TargetMode="External"/><Relationship Id="rId1" Type="http://schemas.openxmlformats.org/officeDocument/2006/relationships/externalLinkPath" Target="ITGC_Exception_Register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_Summary"/>
      <sheetName val="Control_Matrix"/>
      <sheetName val="Exception_Register"/>
      <sheetName val="Exception_Detail"/>
      <sheetName val="Notes_Legend"/>
    </sheetNames>
    <sheetDataSet>
      <sheetData sheetId="0"/>
      <sheetData sheetId="1"/>
      <sheetData sheetId="2">
        <row r="5">
          <cell r="G5" t="str">
            <v>High</v>
          </cell>
        </row>
        <row r="6">
          <cell r="G6" t="str">
            <v>High</v>
          </cell>
        </row>
        <row r="7">
          <cell r="G7" t="str">
            <v>Medium</v>
          </cell>
        </row>
        <row r="8">
          <cell r="G8" t="str">
            <v>High</v>
          </cell>
        </row>
        <row r="9">
          <cell r="G9" t="str">
            <v>Medium</v>
          </cell>
        </row>
        <row r="10">
          <cell r="G10" t="str">
            <v>High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4918-068A-428B-A121-0B606C0B1509}">
  <dimension ref="B2:P13"/>
  <sheetViews>
    <sheetView showGridLines="0" workbookViewId="0">
      <selection activeCell="E6" sqref="E6"/>
    </sheetView>
  </sheetViews>
  <sheetFormatPr defaultRowHeight="14.4" x14ac:dyDescent="0.3"/>
  <cols>
    <col min="1" max="1" width="1.88671875" customWidth="1"/>
    <col min="2" max="2" width="13.21875" bestFit="1" customWidth="1"/>
    <col min="3" max="3" width="25.33203125" customWidth="1"/>
    <col min="4" max="4" width="60.109375" bestFit="1" customWidth="1"/>
    <col min="5" max="5" width="69.6640625" bestFit="1" customWidth="1"/>
    <col min="6" max="6" width="81.44140625" bestFit="1" customWidth="1"/>
    <col min="7" max="7" width="20.77734375" bestFit="1" customWidth="1"/>
    <col min="8" max="8" width="10.44140625" bestFit="1" customWidth="1"/>
    <col min="9" max="9" width="17" bestFit="1" customWidth="1"/>
    <col min="10" max="10" width="60.77734375" bestFit="1" customWidth="1"/>
    <col min="11" max="11" width="13.109375" bestFit="1" customWidth="1"/>
    <col min="12" max="12" width="18.21875" bestFit="1" customWidth="1"/>
    <col min="13" max="13" width="17.6640625" bestFit="1" customWidth="1"/>
    <col min="14" max="14" width="9.44140625" customWidth="1"/>
    <col min="15" max="15" width="19" bestFit="1" customWidth="1"/>
    <col min="16" max="16" width="103.5546875" bestFit="1" customWidth="1"/>
  </cols>
  <sheetData>
    <row r="2" spans="2:16" ht="30.6" x14ac:dyDescent="0.55000000000000004">
      <c r="B2" s="5" t="s">
        <v>0</v>
      </c>
      <c r="C2" s="5"/>
    </row>
    <row r="4" spans="2:16" ht="19.95" customHeight="1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2:16" ht="19.95" customHeight="1" x14ac:dyDescent="0.3"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6">
        <v>260</v>
      </c>
      <c r="J5" s="3" t="s">
        <v>23</v>
      </c>
      <c r="K5" s="3">
        <v>6</v>
      </c>
      <c r="L5" s="16">
        <v>2.3076923076923078E-2</v>
      </c>
      <c r="M5" s="13">
        <v>6</v>
      </c>
      <c r="N5" s="19" t="s">
        <v>24</v>
      </c>
      <c r="O5" s="3" t="s">
        <v>25</v>
      </c>
      <c r="P5" s="3" t="s">
        <v>26</v>
      </c>
    </row>
    <row r="6" spans="2:16" ht="19.95" customHeight="1" x14ac:dyDescent="0.3"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21</v>
      </c>
      <c r="H6" s="2" t="s">
        <v>32</v>
      </c>
      <c r="I6" s="7">
        <v>450</v>
      </c>
      <c r="J6" s="2" t="s">
        <v>33</v>
      </c>
      <c r="K6" s="2">
        <v>14</v>
      </c>
      <c r="L6" s="17">
        <v>3.111111111111111E-2</v>
      </c>
      <c r="M6" s="14">
        <v>13</v>
      </c>
      <c r="N6" s="20" t="s">
        <v>24</v>
      </c>
      <c r="O6" s="2" t="s">
        <v>25</v>
      </c>
      <c r="P6" s="2" t="s">
        <v>34</v>
      </c>
    </row>
    <row r="7" spans="2:16" ht="19.95" customHeight="1" x14ac:dyDescent="0.3"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21</v>
      </c>
      <c r="H7" s="2" t="s">
        <v>40</v>
      </c>
      <c r="I7" s="7">
        <v>450</v>
      </c>
      <c r="J7" s="2" t="s">
        <v>41</v>
      </c>
      <c r="K7" s="2">
        <v>46</v>
      </c>
      <c r="L7" s="17">
        <v>0.10222222222222223</v>
      </c>
      <c r="M7" s="14">
        <v>46</v>
      </c>
      <c r="N7" s="21" t="s">
        <v>42</v>
      </c>
      <c r="O7" s="2" t="s">
        <v>25</v>
      </c>
      <c r="P7" s="2" t="s">
        <v>43</v>
      </c>
    </row>
    <row r="8" spans="2:16" ht="19.95" customHeight="1" x14ac:dyDescent="0.3"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21</v>
      </c>
      <c r="H8" s="2" t="s">
        <v>49</v>
      </c>
      <c r="I8" s="7">
        <v>450</v>
      </c>
      <c r="J8" s="2" t="s">
        <v>41</v>
      </c>
      <c r="K8" s="2">
        <v>30</v>
      </c>
      <c r="L8" s="17">
        <v>6.6666666666666666E-2</v>
      </c>
      <c r="M8" s="14">
        <v>19</v>
      </c>
      <c r="N8" s="20" t="s">
        <v>24</v>
      </c>
      <c r="O8" s="2" t="s">
        <v>25</v>
      </c>
      <c r="P8" s="2" t="s">
        <v>50</v>
      </c>
    </row>
    <row r="9" spans="2:16" ht="19.95" customHeight="1" x14ac:dyDescent="0.3"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21</v>
      </c>
      <c r="H9" s="2" t="s">
        <v>56</v>
      </c>
      <c r="I9" s="7">
        <v>260</v>
      </c>
      <c r="J9" s="2" t="s">
        <v>57</v>
      </c>
      <c r="K9" s="2">
        <v>6</v>
      </c>
      <c r="L9" s="17">
        <v>2.3076923076923078E-2</v>
      </c>
      <c r="M9" s="14">
        <v>6</v>
      </c>
      <c r="N9" s="21" t="s">
        <v>42</v>
      </c>
      <c r="O9" s="2" t="s">
        <v>25</v>
      </c>
      <c r="P9" s="2" t="s">
        <v>58</v>
      </c>
    </row>
    <row r="10" spans="2:16" ht="19.95" customHeight="1" x14ac:dyDescent="0.3">
      <c r="B10" s="4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21</v>
      </c>
      <c r="H10" s="4" t="s">
        <v>64</v>
      </c>
      <c r="I10" s="8">
        <v>260</v>
      </c>
      <c r="J10" s="4" t="s">
        <v>57</v>
      </c>
      <c r="K10" s="4">
        <v>26</v>
      </c>
      <c r="L10" s="18">
        <v>0.1</v>
      </c>
      <c r="M10" s="15">
        <v>26</v>
      </c>
      <c r="N10" s="22" t="s">
        <v>24</v>
      </c>
      <c r="O10" s="4" t="s">
        <v>25</v>
      </c>
      <c r="P10" s="4" t="s">
        <v>65</v>
      </c>
    </row>
    <row r="11" spans="2:16" x14ac:dyDescent="0.3">
      <c r="B11" s="23" t="s">
        <v>66</v>
      </c>
      <c r="C11" s="24"/>
      <c r="D11" s="24"/>
      <c r="E11" s="24"/>
      <c r="F11" s="24"/>
      <c r="G11" s="24"/>
      <c r="H11" s="24"/>
      <c r="I11" s="24"/>
      <c r="J11" s="24"/>
      <c r="K11" s="12">
        <v>128</v>
      </c>
      <c r="L11" s="9"/>
      <c r="M11" s="10"/>
      <c r="N11" s="10"/>
      <c r="O11" s="10"/>
      <c r="P11" s="11"/>
    </row>
    <row r="13" spans="2:16" x14ac:dyDescent="0.3">
      <c r="B13" s="2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EB84-AEAA-4660-B2E8-93719DD952EC}">
  <dimension ref="B2:O13"/>
  <sheetViews>
    <sheetView showGridLines="0" topLeftCell="F1" workbookViewId="0">
      <selection activeCell="M7" sqref="M7"/>
    </sheetView>
  </sheetViews>
  <sheetFormatPr defaultRowHeight="14.4" x14ac:dyDescent="0.3"/>
  <cols>
    <col min="2" max="2" width="106.5546875" bestFit="1" customWidth="1"/>
    <col min="3" max="3" width="8.109375" bestFit="1" customWidth="1"/>
    <col min="5" max="5" width="8.6640625" bestFit="1" customWidth="1"/>
    <col min="6" max="6" width="16.6640625" bestFit="1" customWidth="1"/>
    <col min="7" max="7" width="8.21875" bestFit="1" customWidth="1"/>
    <col min="8" max="8" width="8.5546875" bestFit="1" customWidth="1"/>
    <col min="9" max="9" width="81.88671875" bestFit="1" customWidth="1"/>
    <col min="11" max="11" width="6.88671875" bestFit="1" customWidth="1"/>
    <col min="12" max="12" width="8.77734375" bestFit="1" customWidth="1"/>
    <col min="13" max="13" width="13.109375" bestFit="1" customWidth="1"/>
    <col min="14" max="14" width="15.33203125" bestFit="1" customWidth="1"/>
    <col min="15" max="15" width="8.6640625" bestFit="1" customWidth="1"/>
  </cols>
  <sheetData>
    <row r="2" spans="2:15" ht="19.95" customHeight="1" x14ac:dyDescent="0.3">
      <c r="B2" s="42" t="s">
        <v>68</v>
      </c>
    </row>
    <row r="3" spans="2:15" ht="19.95" customHeight="1" x14ac:dyDescent="0.3"/>
    <row r="4" spans="2:15" ht="19.95" customHeight="1" x14ac:dyDescent="0.3">
      <c r="B4" s="35" t="s">
        <v>69</v>
      </c>
      <c r="C4" s="35" t="s">
        <v>70</v>
      </c>
      <c r="D4" s="35" t="s">
        <v>71</v>
      </c>
      <c r="E4" s="35" t="s">
        <v>9</v>
      </c>
      <c r="F4" s="35" t="s">
        <v>72</v>
      </c>
      <c r="G4" s="35" t="s">
        <v>13</v>
      </c>
      <c r="H4" s="35" t="s">
        <v>73</v>
      </c>
      <c r="I4" s="35" t="s">
        <v>74</v>
      </c>
      <c r="J4" s="35" t="s">
        <v>75</v>
      </c>
      <c r="K4" s="35" t="s">
        <v>76</v>
      </c>
      <c r="L4" s="35" t="s">
        <v>77</v>
      </c>
      <c r="M4" s="35" t="s">
        <v>78</v>
      </c>
      <c r="N4" s="35" t="s">
        <v>79</v>
      </c>
      <c r="O4" s="35" t="s">
        <v>80</v>
      </c>
    </row>
    <row r="5" spans="2:15" ht="19.95" customHeight="1" x14ac:dyDescent="0.3">
      <c r="B5" s="27" t="s">
        <v>81</v>
      </c>
      <c r="C5" s="28" t="s">
        <v>16</v>
      </c>
      <c r="D5" s="29" t="s">
        <v>82</v>
      </c>
      <c r="E5" s="29" t="s">
        <v>57</v>
      </c>
      <c r="F5" s="43">
        <v>6</v>
      </c>
      <c r="G5" s="30" t="s">
        <v>24</v>
      </c>
      <c r="H5" s="43" t="s">
        <v>83</v>
      </c>
      <c r="I5" s="29" t="s">
        <v>84</v>
      </c>
      <c r="J5" s="29" t="s">
        <v>85</v>
      </c>
      <c r="K5" s="43" t="s">
        <v>86</v>
      </c>
      <c r="L5" s="29" t="s">
        <v>87</v>
      </c>
      <c r="M5" s="31">
        <v>46330</v>
      </c>
      <c r="N5" s="30">
        <v>0</v>
      </c>
      <c r="O5" s="28" t="str">
        <f t="shared" ref="O5:O10" si="0">IF(N5=0,"Pending",IF(N5=F5,"OK","Mismatch"))</f>
        <v>Pending</v>
      </c>
    </row>
    <row r="6" spans="2:15" ht="19.95" customHeight="1" x14ac:dyDescent="0.3">
      <c r="B6" s="27" t="s">
        <v>88</v>
      </c>
      <c r="C6" s="28" t="s">
        <v>27</v>
      </c>
      <c r="D6" s="29" t="s">
        <v>89</v>
      </c>
      <c r="E6" s="29" t="s">
        <v>41</v>
      </c>
      <c r="F6" s="43">
        <v>14</v>
      </c>
      <c r="G6" s="30" t="s">
        <v>24</v>
      </c>
      <c r="H6" s="43" t="s">
        <v>83</v>
      </c>
      <c r="I6" s="29" t="s">
        <v>90</v>
      </c>
      <c r="J6" s="29" t="s">
        <v>91</v>
      </c>
      <c r="K6" s="43" t="s">
        <v>86</v>
      </c>
      <c r="L6" s="29" t="s">
        <v>87</v>
      </c>
      <c r="M6" s="31">
        <v>46330</v>
      </c>
      <c r="N6" s="30">
        <v>0</v>
      </c>
      <c r="O6" s="28" t="str">
        <f t="shared" si="0"/>
        <v>Pending</v>
      </c>
    </row>
    <row r="7" spans="2:15" ht="19.95" customHeight="1" x14ac:dyDescent="0.3">
      <c r="B7" s="27" t="s">
        <v>92</v>
      </c>
      <c r="C7" s="28" t="s">
        <v>35</v>
      </c>
      <c r="D7" s="29" t="s">
        <v>93</v>
      </c>
      <c r="E7" s="29" t="s">
        <v>41</v>
      </c>
      <c r="F7" s="43">
        <v>46</v>
      </c>
      <c r="G7" s="30" t="s">
        <v>42</v>
      </c>
      <c r="H7" s="43" t="s">
        <v>24</v>
      </c>
      <c r="I7" s="29" t="s">
        <v>94</v>
      </c>
      <c r="J7" s="29" t="s">
        <v>95</v>
      </c>
      <c r="K7" s="43" t="s">
        <v>86</v>
      </c>
      <c r="L7" s="29" t="s">
        <v>87</v>
      </c>
      <c r="M7" s="31">
        <v>46353</v>
      </c>
      <c r="N7" s="30">
        <v>0</v>
      </c>
      <c r="O7" s="28" t="str">
        <f t="shared" si="0"/>
        <v>Pending</v>
      </c>
    </row>
    <row r="8" spans="2:15" ht="19.95" customHeight="1" x14ac:dyDescent="0.3">
      <c r="B8" s="27" t="s">
        <v>96</v>
      </c>
      <c r="C8" s="28" t="s">
        <v>44</v>
      </c>
      <c r="D8" s="29" t="s">
        <v>97</v>
      </c>
      <c r="E8" s="29" t="s">
        <v>98</v>
      </c>
      <c r="F8" s="43">
        <v>30</v>
      </c>
      <c r="G8" s="30" t="s">
        <v>24</v>
      </c>
      <c r="H8" s="43" t="s">
        <v>83</v>
      </c>
      <c r="I8" s="29" t="s">
        <v>99</v>
      </c>
      <c r="J8" s="29" t="s">
        <v>100</v>
      </c>
      <c r="K8" s="43" t="s">
        <v>86</v>
      </c>
      <c r="L8" s="29" t="s">
        <v>87</v>
      </c>
      <c r="M8" s="31">
        <v>46330</v>
      </c>
      <c r="N8" s="30">
        <v>0</v>
      </c>
      <c r="O8" s="28" t="str">
        <f t="shared" si="0"/>
        <v>Pending</v>
      </c>
    </row>
    <row r="9" spans="2:15" ht="19.95" customHeight="1" x14ac:dyDescent="0.3">
      <c r="B9" s="27" t="s">
        <v>101</v>
      </c>
      <c r="C9" s="28" t="s">
        <v>51</v>
      </c>
      <c r="D9" s="29" t="s">
        <v>102</v>
      </c>
      <c r="E9" s="29" t="s">
        <v>57</v>
      </c>
      <c r="F9" s="43">
        <v>6</v>
      </c>
      <c r="G9" s="30" t="s">
        <v>42</v>
      </c>
      <c r="H9" s="43" t="s">
        <v>24</v>
      </c>
      <c r="I9" s="29" t="s">
        <v>103</v>
      </c>
      <c r="J9" s="29" t="s">
        <v>104</v>
      </c>
      <c r="K9" s="43" t="s">
        <v>86</v>
      </c>
      <c r="L9" s="29" t="s">
        <v>87</v>
      </c>
      <c r="M9" s="31">
        <v>46353</v>
      </c>
      <c r="N9" s="30">
        <v>0</v>
      </c>
      <c r="O9" s="28" t="str">
        <f t="shared" si="0"/>
        <v>Pending</v>
      </c>
    </row>
    <row r="10" spans="2:15" ht="19.95" customHeight="1" x14ac:dyDescent="0.3">
      <c r="B10" s="27" t="s">
        <v>105</v>
      </c>
      <c r="C10" s="28" t="s">
        <v>59</v>
      </c>
      <c r="D10" s="29" t="s">
        <v>106</v>
      </c>
      <c r="E10" s="29" t="s">
        <v>57</v>
      </c>
      <c r="F10" s="43">
        <v>26</v>
      </c>
      <c r="G10" s="30" t="s">
        <v>24</v>
      </c>
      <c r="H10" s="43" t="s">
        <v>83</v>
      </c>
      <c r="I10" s="29" t="s">
        <v>107</v>
      </c>
      <c r="J10" s="29" t="s">
        <v>104</v>
      </c>
      <c r="K10" s="43" t="s">
        <v>86</v>
      </c>
      <c r="L10" s="29" t="s">
        <v>87</v>
      </c>
      <c r="M10" s="31">
        <v>46330</v>
      </c>
      <c r="N10" s="30">
        <v>0</v>
      </c>
      <c r="O10" s="28" t="str">
        <f t="shared" si="0"/>
        <v>Pending</v>
      </c>
    </row>
    <row r="11" spans="2:15" ht="19.95" customHeight="1" x14ac:dyDescent="0.3">
      <c r="B11" s="37" t="s">
        <v>66</v>
      </c>
      <c r="C11" s="38"/>
      <c r="D11" s="38"/>
      <c r="E11" s="38"/>
      <c r="F11" s="36">
        <f>SUM(F5:F10)</f>
        <v>128</v>
      </c>
      <c r="G11" s="39"/>
      <c r="H11" s="39"/>
      <c r="I11" s="39"/>
      <c r="J11" s="39"/>
      <c r="K11" s="39"/>
      <c r="L11" s="39"/>
      <c r="M11" s="39"/>
      <c r="N11" s="39"/>
      <c r="O11" s="40"/>
    </row>
    <row r="12" spans="2:15" ht="19.95" customHeight="1" x14ac:dyDescent="0.3"/>
    <row r="13" spans="2:15" ht="19.95" customHeight="1" x14ac:dyDescent="0.3">
      <c r="B13" s="41" t="s">
        <v>108</v>
      </c>
    </row>
  </sheetData>
  <conditionalFormatting sqref="G5:G10">
    <cfRule type="cellIs" dxfId="5" priority="1" operator="equal">
      <formula>"High"</formula>
    </cfRule>
    <cfRule type="cellIs" dxfId="4" priority="2" operator="equal">
      <formula>"Medium"</formula>
    </cfRule>
    <cfRule type="cellIs" dxfId="3" priority="3" operator="equal">
      <formula>"Low"</formula>
    </cfRule>
  </conditionalFormatting>
  <conditionalFormatting sqref="O5:O10">
    <cfRule type="cellIs" dxfId="2" priority="4" operator="equal">
      <formula>"OK"</formula>
    </cfRule>
    <cfRule type="cellIs" dxfId="1" priority="5" operator="equal">
      <formula>"Mismatch"</formula>
    </cfRule>
    <cfRule type="cellIs" dxfId="0" priority="6" operator="equal">
      <formula>"Pending"</formula>
    </cfRule>
  </conditionalFormatting>
  <dataValidations count="2">
    <dataValidation type="list" sqref="K5:K10" xr:uid="{2DDCFB0E-1156-4935-8323-F9E4EDA99DDC}">
      <formula1>"Open,In progress,Closed"</formula1>
      <formula2>0</formula2>
    </dataValidation>
    <dataValidation type="list" sqref="H5:H10" xr:uid="{6B870244-DBC4-40F9-B8B1-AAABB346E1FF}">
      <formula1>"Immediate,High,Medium"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B467-01A4-4D37-BC1D-C1C5C48895C3}">
  <dimension ref="B2:H132"/>
  <sheetViews>
    <sheetView showGridLines="0" workbookViewId="0">
      <selection activeCell="F19" sqref="F19"/>
    </sheetView>
  </sheetViews>
  <sheetFormatPr defaultRowHeight="14.4" x14ac:dyDescent="0.3"/>
  <cols>
    <col min="2" max="2" width="42.33203125" bestFit="1" customWidth="1"/>
    <col min="3" max="3" width="8.109375" bestFit="1" customWidth="1"/>
    <col min="5" max="5" width="40.44140625" bestFit="1" customWidth="1"/>
    <col min="6" max="6" width="8.109375" bestFit="1" customWidth="1"/>
    <col min="7" max="7" width="10.33203125" bestFit="1" customWidth="1"/>
    <col min="8" max="8" width="52" bestFit="1" customWidth="1"/>
  </cols>
  <sheetData>
    <row r="2" spans="2:8" ht="20.399999999999999" x14ac:dyDescent="0.3">
      <c r="B2" s="26" t="s">
        <v>140</v>
      </c>
    </row>
    <row r="3" spans="2:8" x14ac:dyDescent="0.3">
      <c r="B3" s="34"/>
    </row>
    <row r="4" spans="2:8" ht="15" customHeight="1" x14ac:dyDescent="0.3">
      <c r="B4" s="46" t="s">
        <v>69</v>
      </c>
      <c r="C4" s="46" t="s">
        <v>70</v>
      </c>
      <c r="D4" s="46" t="s">
        <v>141</v>
      </c>
      <c r="E4" s="46" t="s">
        <v>142</v>
      </c>
      <c r="F4" s="46" t="s">
        <v>7</v>
      </c>
      <c r="G4" s="46" t="s">
        <v>143</v>
      </c>
      <c r="H4" s="46" t="s">
        <v>144</v>
      </c>
    </row>
    <row r="5" spans="2:8" ht="15" customHeight="1" x14ac:dyDescent="0.3">
      <c r="B5" s="28" t="s">
        <v>81</v>
      </c>
      <c r="C5" s="28" t="s">
        <v>16</v>
      </c>
      <c r="D5" s="56" t="s">
        <v>166</v>
      </c>
      <c r="E5" s="56" t="s">
        <v>167</v>
      </c>
      <c r="F5" s="28" t="s">
        <v>22</v>
      </c>
      <c r="G5" s="57">
        <v>46309</v>
      </c>
      <c r="H5" s="58" t="s">
        <v>280</v>
      </c>
    </row>
    <row r="6" spans="2:8" ht="15" customHeight="1" x14ac:dyDescent="0.3">
      <c r="B6" s="28" t="s">
        <v>81</v>
      </c>
      <c r="C6" s="28" t="s">
        <v>16</v>
      </c>
      <c r="D6" s="56" t="s">
        <v>168</v>
      </c>
      <c r="E6" s="56" t="s">
        <v>167</v>
      </c>
      <c r="F6" s="28" t="s">
        <v>22</v>
      </c>
      <c r="G6" s="57">
        <v>46309</v>
      </c>
      <c r="H6" s="58" t="s">
        <v>280</v>
      </c>
    </row>
    <row r="7" spans="2:8" ht="15" customHeight="1" x14ac:dyDescent="0.3">
      <c r="B7" s="28" t="s">
        <v>81</v>
      </c>
      <c r="C7" s="28" t="s">
        <v>16</v>
      </c>
      <c r="D7" s="56" t="s">
        <v>169</v>
      </c>
      <c r="E7" s="56" t="s">
        <v>170</v>
      </c>
      <c r="F7" s="28" t="s">
        <v>22</v>
      </c>
      <c r="G7" s="57">
        <v>46309</v>
      </c>
      <c r="H7" s="58" t="s">
        <v>280</v>
      </c>
    </row>
    <row r="8" spans="2:8" ht="15" customHeight="1" x14ac:dyDescent="0.3">
      <c r="B8" s="28" t="s">
        <v>81</v>
      </c>
      <c r="C8" s="28" t="s">
        <v>16</v>
      </c>
      <c r="D8" s="56" t="s">
        <v>171</v>
      </c>
      <c r="E8" s="56" t="s">
        <v>172</v>
      </c>
      <c r="F8" s="28" t="s">
        <v>22</v>
      </c>
      <c r="G8" s="57">
        <v>46309</v>
      </c>
      <c r="H8" s="58" t="s">
        <v>280</v>
      </c>
    </row>
    <row r="9" spans="2:8" ht="15" customHeight="1" x14ac:dyDescent="0.3">
      <c r="B9" s="28" t="s">
        <v>81</v>
      </c>
      <c r="C9" s="28" t="s">
        <v>16</v>
      </c>
      <c r="D9" s="56" t="s">
        <v>173</v>
      </c>
      <c r="E9" s="56" t="s">
        <v>170</v>
      </c>
      <c r="F9" s="28" t="s">
        <v>22</v>
      </c>
      <c r="G9" s="57">
        <v>46309</v>
      </c>
      <c r="H9" s="58" t="s">
        <v>280</v>
      </c>
    </row>
    <row r="10" spans="2:8" ht="15" customHeight="1" x14ac:dyDescent="0.3">
      <c r="B10" s="28" t="s">
        <v>81</v>
      </c>
      <c r="C10" s="28" t="s">
        <v>16</v>
      </c>
      <c r="D10" s="56" t="s">
        <v>174</v>
      </c>
      <c r="E10" s="56" t="s">
        <v>167</v>
      </c>
      <c r="F10" s="28" t="s">
        <v>22</v>
      </c>
      <c r="G10" s="57">
        <v>46309</v>
      </c>
      <c r="H10" s="58" t="s">
        <v>280</v>
      </c>
    </row>
    <row r="11" spans="2:8" ht="15" customHeight="1" x14ac:dyDescent="0.3">
      <c r="B11" s="28" t="s">
        <v>88</v>
      </c>
      <c r="C11" s="28" t="s">
        <v>27</v>
      </c>
      <c r="D11" s="56" t="s">
        <v>175</v>
      </c>
      <c r="E11" s="56" t="s">
        <v>176</v>
      </c>
      <c r="F11" s="28" t="s">
        <v>32</v>
      </c>
      <c r="G11" s="57">
        <v>46309</v>
      </c>
      <c r="H11" s="58" t="s">
        <v>281</v>
      </c>
    </row>
    <row r="12" spans="2:8" ht="15" customHeight="1" x14ac:dyDescent="0.3">
      <c r="B12" s="28" t="s">
        <v>88</v>
      </c>
      <c r="C12" s="28" t="s">
        <v>27</v>
      </c>
      <c r="D12" s="56" t="s">
        <v>177</v>
      </c>
      <c r="E12" s="56" t="s">
        <v>176</v>
      </c>
      <c r="F12" s="28" t="s">
        <v>32</v>
      </c>
      <c r="G12" s="57">
        <v>46309</v>
      </c>
      <c r="H12" s="58" t="s">
        <v>281</v>
      </c>
    </row>
    <row r="13" spans="2:8" ht="15" customHeight="1" x14ac:dyDescent="0.3">
      <c r="B13" s="28" t="s">
        <v>88</v>
      </c>
      <c r="C13" s="28" t="s">
        <v>27</v>
      </c>
      <c r="D13" s="56" t="s">
        <v>168</v>
      </c>
      <c r="E13" s="56" t="s">
        <v>178</v>
      </c>
      <c r="F13" s="28" t="s">
        <v>32</v>
      </c>
      <c r="G13" s="57">
        <v>46309</v>
      </c>
      <c r="H13" s="58" t="s">
        <v>281</v>
      </c>
    </row>
    <row r="14" spans="2:8" ht="15" customHeight="1" x14ac:dyDescent="0.3">
      <c r="B14" s="28" t="s">
        <v>88</v>
      </c>
      <c r="C14" s="28" t="s">
        <v>27</v>
      </c>
      <c r="D14" s="56" t="s">
        <v>179</v>
      </c>
      <c r="E14" s="56" t="s">
        <v>180</v>
      </c>
      <c r="F14" s="28" t="s">
        <v>32</v>
      </c>
      <c r="G14" s="57">
        <v>46309</v>
      </c>
      <c r="H14" s="58" t="s">
        <v>281</v>
      </c>
    </row>
    <row r="15" spans="2:8" ht="15" customHeight="1" x14ac:dyDescent="0.3">
      <c r="B15" s="28" t="s">
        <v>88</v>
      </c>
      <c r="C15" s="28" t="s">
        <v>27</v>
      </c>
      <c r="D15" s="56" t="s">
        <v>181</v>
      </c>
      <c r="E15" s="56" t="s">
        <v>180</v>
      </c>
      <c r="F15" s="28" t="s">
        <v>32</v>
      </c>
      <c r="G15" s="57">
        <v>46309</v>
      </c>
      <c r="H15" s="58" t="s">
        <v>281</v>
      </c>
    </row>
    <row r="16" spans="2:8" ht="15" customHeight="1" x14ac:dyDescent="0.3">
      <c r="B16" s="28" t="s">
        <v>88</v>
      </c>
      <c r="C16" s="28" t="s">
        <v>27</v>
      </c>
      <c r="D16" s="56" t="s">
        <v>182</v>
      </c>
      <c r="E16" s="56" t="s">
        <v>183</v>
      </c>
      <c r="F16" s="28" t="s">
        <v>32</v>
      </c>
      <c r="G16" s="57">
        <v>46309</v>
      </c>
      <c r="H16" s="58" t="s">
        <v>281</v>
      </c>
    </row>
    <row r="17" spans="2:8" ht="15" customHeight="1" x14ac:dyDescent="0.3">
      <c r="B17" s="28" t="s">
        <v>88</v>
      </c>
      <c r="C17" s="28" t="s">
        <v>27</v>
      </c>
      <c r="D17" s="56" t="s">
        <v>184</v>
      </c>
      <c r="E17" s="56" t="s">
        <v>180</v>
      </c>
      <c r="F17" s="28" t="s">
        <v>32</v>
      </c>
      <c r="G17" s="57">
        <v>46309</v>
      </c>
      <c r="H17" s="58" t="s">
        <v>281</v>
      </c>
    </row>
    <row r="18" spans="2:8" ht="15" customHeight="1" x14ac:dyDescent="0.3">
      <c r="B18" s="28" t="s">
        <v>88</v>
      </c>
      <c r="C18" s="28" t="s">
        <v>27</v>
      </c>
      <c r="D18" s="56" t="s">
        <v>185</v>
      </c>
      <c r="E18" s="56" t="s">
        <v>186</v>
      </c>
      <c r="F18" s="28" t="s">
        <v>32</v>
      </c>
      <c r="G18" s="57">
        <v>46309</v>
      </c>
      <c r="H18" s="58" t="s">
        <v>281</v>
      </c>
    </row>
    <row r="19" spans="2:8" ht="15" customHeight="1" x14ac:dyDescent="0.3">
      <c r="B19" s="28" t="s">
        <v>88</v>
      </c>
      <c r="C19" s="28" t="s">
        <v>27</v>
      </c>
      <c r="D19" s="56" t="s">
        <v>187</v>
      </c>
      <c r="E19" s="56" t="s">
        <v>188</v>
      </c>
      <c r="F19" s="28" t="s">
        <v>32</v>
      </c>
      <c r="G19" s="57">
        <v>46309</v>
      </c>
      <c r="H19" s="58" t="s">
        <v>281</v>
      </c>
    </row>
    <row r="20" spans="2:8" ht="15" customHeight="1" x14ac:dyDescent="0.3">
      <c r="B20" s="28" t="s">
        <v>88</v>
      </c>
      <c r="C20" s="28" t="s">
        <v>27</v>
      </c>
      <c r="D20" s="56" t="s">
        <v>189</v>
      </c>
      <c r="E20" s="56" t="s">
        <v>190</v>
      </c>
      <c r="F20" s="28" t="s">
        <v>32</v>
      </c>
      <c r="G20" s="57">
        <v>46309</v>
      </c>
      <c r="H20" s="58" t="s">
        <v>281</v>
      </c>
    </row>
    <row r="21" spans="2:8" ht="15" customHeight="1" x14ac:dyDescent="0.3">
      <c r="B21" s="28" t="s">
        <v>88</v>
      </c>
      <c r="C21" s="28" t="s">
        <v>27</v>
      </c>
      <c r="D21" s="56" t="s">
        <v>191</v>
      </c>
      <c r="E21" s="56" t="s">
        <v>188</v>
      </c>
      <c r="F21" s="28" t="s">
        <v>32</v>
      </c>
      <c r="G21" s="57">
        <v>46309</v>
      </c>
      <c r="H21" s="58" t="s">
        <v>281</v>
      </c>
    </row>
    <row r="22" spans="2:8" ht="15" customHeight="1" x14ac:dyDescent="0.3">
      <c r="B22" s="28" t="s">
        <v>88</v>
      </c>
      <c r="C22" s="28" t="s">
        <v>27</v>
      </c>
      <c r="D22" s="56" t="s">
        <v>192</v>
      </c>
      <c r="E22" s="56" t="s">
        <v>188</v>
      </c>
      <c r="F22" s="28" t="s">
        <v>32</v>
      </c>
      <c r="G22" s="57">
        <v>46309</v>
      </c>
      <c r="H22" s="58" t="s">
        <v>281</v>
      </c>
    </row>
    <row r="23" spans="2:8" ht="15" customHeight="1" x14ac:dyDescent="0.3">
      <c r="B23" s="28" t="s">
        <v>88</v>
      </c>
      <c r="C23" s="28" t="s">
        <v>27</v>
      </c>
      <c r="D23" s="56" t="s">
        <v>193</v>
      </c>
      <c r="E23" s="56" t="s">
        <v>183</v>
      </c>
      <c r="F23" s="28" t="s">
        <v>32</v>
      </c>
      <c r="G23" s="57">
        <v>46309</v>
      </c>
      <c r="H23" s="58" t="s">
        <v>281</v>
      </c>
    </row>
    <row r="24" spans="2:8" ht="15" customHeight="1" x14ac:dyDescent="0.3">
      <c r="B24" s="28" t="s">
        <v>88</v>
      </c>
      <c r="C24" s="28" t="s">
        <v>27</v>
      </c>
      <c r="D24" s="56" t="s">
        <v>175</v>
      </c>
      <c r="E24" s="56" t="s">
        <v>194</v>
      </c>
      <c r="F24" s="28" t="s">
        <v>32</v>
      </c>
      <c r="G24" s="57">
        <v>46309</v>
      </c>
      <c r="H24" s="58" t="s">
        <v>281</v>
      </c>
    </row>
    <row r="25" spans="2:8" ht="15" customHeight="1" x14ac:dyDescent="0.3">
      <c r="B25" s="28" t="s">
        <v>92</v>
      </c>
      <c r="C25" s="28" t="s">
        <v>35</v>
      </c>
      <c r="D25" s="56" t="s">
        <v>195</v>
      </c>
      <c r="E25" s="56" t="s">
        <v>196</v>
      </c>
      <c r="F25" s="28" t="s">
        <v>40</v>
      </c>
      <c r="G25" s="57">
        <v>46309</v>
      </c>
      <c r="H25" s="58" t="s">
        <v>282</v>
      </c>
    </row>
    <row r="26" spans="2:8" ht="15" customHeight="1" x14ac:dyDescent="0.3">
      <c r="B26" s="28" t="s">
        <v>92</v>
      </c>
      <c r="C26" s="28" t="s">
        <v>35</v>
      </c>
      <c r="D26" s="56" t="s">
        <v>197</v>
      </c>
      <c r="E26" s="56" t="s">
        <v>196</v>
      </c>
      <c r="F26" s="28" t="s">
        <v>40</v>
      </c>
      <c r="G26" s="57">
        <v>46309</v>
      </c>
      <c r="H26" s="58" t="s">
        <v>282</v>
      </c>
    </row>
    <row r="27" spans="2:8" ht="15" customHeight="1" x14ac:dyDescent="0.3">
      <c r="B27" s="28" t="s">
        <v>92</v>
      </c>
      <c r="C27" s="28" t="s">
        <v>35</v>
      </c>
      <c r="D27" s="56" t="s">
        <v>198</v>
      </c>
      <c r="E27" s="56" t="s">
        <v>196</v>
      </c>
      <c r="F27" s="28" t="s">
        <v>40</v>
      </c>
      <c r="G27" s="57">
        <v>46309</v>
      </c>
      <c r="H27" s="58" t="s">
        <v>282</v>
      </c>
    </row>
    <row r="28" spans="2:8" ht="15" customHeight="1" x14ac:dyDescent="0.3">
      <c r="B28" s="28" t="s">
        <v>92</v>
      </c>
      <c r="C28" s="28" t="s">
        <v>35</v>
      </c>
      <c r="D28" s="56" t="s">
        <v>199</v>
      </c>
      <c r="E28" s="56" t="s">
        <v>196</v>
      </c>
      <c r="F28" s="28" t="s">
        <v>40</v>
      </c>
      <c r="G28" s="57">
        <v>46309</v>
      </c>
      <c r="H28" s="58" t="s">
        <v>282</v>
      </c>
    </row>
    <row r="29" spans="2:8" ht="15" customHeight="1" x14ac:dyDescent="0.3">
      <c r="B29" s="28" t="s">
        <v>92</v>
      </c>
      <c r="C29" s="28" t="s">
        <v>35</v>
      </c>
      <c r="D29" s="56" t="s">
        <v>200</v>
      </c>
      <c r="E29" s="56" t="s">
        <v>196</v>
      </c>
      <c r="F29" s="28" t="s">
        <v>40</v>
      </c>
      <c r="G29" s="57">
        <v>46309</v>
      </c>
      <c r="H29" s="58" t="s">
        <v>282</v>
      </c>
    </row>
    <row r="30" spans="2:8" ht="15" customHeight="1" x14ac:dyDescent="0.3">
      <c r="B30" s="28" t="s">
        <v>92</v>
      </c>
      <c r="C30" s="28" t="s">
        <v>35</v>
      </c>
      <c r="D30" s="56" t="s">
        <v>201</v>
      </c>
      <c r="E30" s="56" t="s">
        <v>196</v>
      </c>
      <c r="F30" s="28" t="s">
        <v>40</v>
      </c>
      <c r="G30" s="57">
        <v>46309</v>
      </c>
      <c r="H30" s="58" t="s">
        <v>282</v>
      </c>
    </row>
    <row r="31" spans="2:8" ht="15" customHeight="1" x14ac:dyDescent="0.3">
      <c r="B31" s="28" t="s">
        <v>92</v>
      </c>
      <c r="C31" s="28" t="s">
        <v>35</v>
      </c>
      <c r="D31" s="56" t="s">
        <v>202</v>
      </c>
      <c r="E31" s="56" t="s">
        <v>196</v>
      </c>
      <c r="F31" s="28" t="s">
        <v>40</v>
      </c>
      <c r="G31" s="57">
        <v>46309</v>
      </c>
      <c r="H31" s="58" t="s">
        <v>282</v>
      </c>
    </row>
    <row r="32" spans="2:8" ht="15" customHeight="1" x14ac:dyDescent="0.3">
      <c r="B32" s="28" t="s">
        <v>92</v>
      </c>
      <c r="C32" s="28" t="s">
        <v>35</v>
      </c>
      <c r="D32" s="56" t="s">
        <v>203</v>
      </c>
      <c r="E32" s="56" t="s">
        <v>196</v>
      </c>
      <c r="F32" s="28" t="s">
        <v>40</v>
      </c>
      <c r="G32" s="57">
        <v>46309</v>
      </c>
      <c r="H32" s="58" t="s">
        <v>282</v>
      </c>
    </row>
    <row r="33" spans="2:8" ht="15" customHeight="1" x14ac:dyDescent="0.3">
      <c r="B33" s="28" t="s">
        <v>92</v>
      </c>
      <c r="C33" s="28" t="s">
        <v>35</v>
      </c>
      <c r="D33" s="56" t="s">
        <v>204</v>
      </c>
      <c r="E33" s="56" t="s">
        <v>196</v>
      </c>
      <c r="F33" s="28" t="s">
        <v>40</v>
      </c>
      <c r="G33" s="57">
        <v>46309</v>
      </c>
      <c r="H33" s="58" t="s">
        <v>282</v>
      </c>
    </row>
    <row r="34" spans="2:8" ht="15" customHeight="1" x14ac:dyDescent="0.3">
      <c r="B34" s="28" t="s">
        <v>92</v>
      </c>
      <c r="C34" s="28" t="s">
        <v>35</v>
      </c>
      <c r="D34" s="56" t="s">
        <v>205</v>
      </c>
      <c r="E34" s="56" t="s">
        <v>196</v>
      </c>
      <c r="F34" s="28" t="s">
        <v>40</v>
      </c>
      <c r="G34" s="57">
        <v>46309</v>
      </c>
      <c r="H34" s="58" t="s">
        <v>282</v>
      </c>
    </row>
    <row r="35" spans="2:8" ht="15" customHeight="1" x14ac:dyDescent="0.3">
      <c r="B35" s="28" t="s">
        <v>92</v>
      </c>
      <c r="C35" s="28" t="s">
        <v>35</v>
      </c>
      <c r="D35" s="56" t="s">
        <v>206</v>
      </c>
      <c r="E35" s="56" t="s">
        <v>196</v>
      </c>
      <c r="F35" s="28" t="s">
        <v>40</v>
      </c>
      <c r="G35" s="57">
        <v>46309</v>
      </c>
      <c r="H35" s="58" t="s">
        <v>282</v>
      </c>
    </row>
    <row r="36" spans="2:8" ht="15" customHeight="1" x14ac:dyDescent="0.3">
      <c r="B36" s="28" t="s">
        <v>92</v>
      </c>
      <c r="C36" s="28" t="s">
        <v>35</v>
      </c>
      <c r="D36" s="56" t="s">
        <v>207</v>
      </c>
      <c r="E36" s="56" t="s">
        <v>208</v>
      </c>
      <c r="F36" s="28" t="s">
        <v>40</v>
      </c>
      <c r="G36" s="57">
        <v>46309</v>
      </c>
      <c r="H36" s="58" t="s">
        <v>282</v>
      </c>
    </row>
    <row r="37" spans="2:8" ht="15" customHeight="1" x14ac:dyDescent="0.3">
      <c r="B37" s="28" t="s">
        <v>92</v>
      </c>
      <c r="C37" s="28" t="s">
        <v>35</v>
      </c>
      <c r="D37" s="56" t="s">
        <v>195</v>
      </c>
      <c r="E37" s="56" t="s">
        <v>209</v>
      </c>
      <c r="F37" s="28" t="s">
        <v>40</v>
      </c>
      <c r="G37" s="57">
        <v>46309</v>
      </c>
      <c r="H37" s="58" t="s">
        <v>282</v>
      </c>
    </row>
    <row r="38" spans="2:8" ht="15" customHeight="1" x14ac:dyDescent="0.3">
      <c r="B38" s="28" t="s">
        <v>92</v>
      </c>
      <c r="C38" s="28" t="s">
        <v>35</v>
      </c>
      <c r="D38" s="56" t="s">
        <v>195</v>
      </c>
      <c r="E38" s="56" t="s">
        <v>210</v>
      </c>
      <c r="F38" s="28" t="s">
        <v>40</v>
      </c>
      <c r="G38" s="57">
        <v>46309</v>
      </c>
      <c r="H38" s="58" t="s">
        <v>282</v>
      </c>
    </row>
    <row r="39" spans="2:8" ht="15" customHeight="1" x14ac:dyDescent="0.3">
      <c r="B39" s="28" t="s">
        <v>92</v>
      </c>
      <c r="C39" s="28" t="s">
        <v>35</v>
      </c>
      <c r="D39" s="56" t="s">
        <v>211</v>
      </c>
      <c r="E39" s="56" t="s">
        <v>208</v>
      </c>
      <c r="F39" s="28" t="s">
        <v>40</v>
      </c>
      <c r="G39" s="57">
        <v>46309</v>
      </c>
      <c r="H39" s="58" t="s">
        <v>282</v>
      </c>
    </row>
    <row r="40" spans="2:8" ht="15" customHeight="1" x14ac:dyDescent="0.3">
      <c r="B40" s="28" t="s">
        <v>92</v>
      </c>
      <c r="C40" s="28" t="s">
        <v>35</v>
      </c>
      <c r="D40" s="56" t="s">
        <v>211</v>
      </c>
      <c r="E40" s="56" t="s">
        <v>210</v>
      </c>
      <c r="F40" s="28" t="s">
        <v>40</v>
      </c>
      <c r="G40" s="57">
        <v>46309</v>
      </c>
      <c r="H40" s="58" t="s">
        <v>282</v>
      </c>
    </row>
    <row r="41" spans="2:8" ht="15" customHeight="1" x14ac:dyDescent="0.3">
      <c r="B41" s="28" t="s">
        <v>92</v>
      </c>
      <c r="C41" s="28" t="s">
        <v>35</v>
      </c>
      <c r="D41" s="56" t="s">
        <v>197</v>
      </c>
      <c r="E41" s="56" t="s">
        <v>210</v>
      </c>
      <c r="F41" s="28" t="s">
        <v>40</v>
      </c>
      <c r="G41" s="57">
        <v>46309</v>
      </c>
      <c r="H41" s="58" t="s">
        <v>282</v>
      </c>
    </row>
    <row r="42" spans="2:8" ht="15" customHeight="1" x14ac:dyDescent="0.3">
      <c r="B42" s="28" t="s">
        <v>92</v>
      </c>
      <c r="C42" s="28" t="s">
        <v>35</v>
      </c>
      <c r="D42" s="56" t="s">
        <v>175</v>
      </c>
      <c r="E42" s="56" t="s">
        <v>194</v>
      </c>
      <c r="F42" s="28" t="s">
        <v>40</v>
      </c>
      <c r="G42" s="57">
        <v>46309</v>
      </c>
      <c r="H42" s="58" t="s">
        <v>282</v>
      </c>
    </row>
    <row r="43" spans="2:8" ht="15" customHeight="1" x14ac:dyDescent="0.3">
      <c r="B43" s="28" t="s">
        <v>92</v>
      </c>
      <c r="C43" s="28" t="s">
        <v>35</v>
      </c>
      <c r="D43" s="56" t="s">
        <v>212</v>
      </c>
      <c r="E43" s="56" t="s">
        <v>213</v>
      </c>
      <c r="F43" s="28" t="s">
        <v>40</v>
      </c>
      <c r="G43" s="57">
        <v>46309</v>
      </c>
      <c r="H43" s="58" t="s">
        <v>282</v>
      </c>
    </row>
    <row r="44" spans="2:8" ht="15" customHeight="1" x14ac:dyDescent="0.3">
      <c r="B44" s="28" t="s">
        <v>92</v>
      </c>
      <c r="C44" s="28" t="s">
        <v>35</v>
      </c>
      <c r="D44" s="56" t="s">
        <v>214</v>
      </c>
      <c r="E44" s="56" t="s">
        <v>194</v>
      </c>
      <c r="F44" s="28" t="s">
        <v>40</v>
      </c>
      <c r="G44" s="57">
        <v>46309</v>
      </c>
      <c r="H44" s="58" t="s">
        <v>282</v>
      </c>
    </row>
    <row r="45" spans="2:8" ht="15" customHeight="1" x14ac:dyDescent="0.3">
      <c r="B45" s="28" t="s">
        <v>92</v>
      </c>
      <c r="C45" s="28" t="s">
        <v>35</v>
      </c>
      <c r="D45" s="56" t="s">
        <v>215</v>
      </c>
      <c r="E45" s="56" t="s">
        <v>186</v>
      </c>
      <c r="F45" s="28" t="s">
        <v>40</v>
      </c>
      <c r="G45" s="57">
        <v>46309</v>
      </c>
      <c r="H45" s="58" t="s">
        <v>282</v>
      </c>
    </row>
    <row r="46" spans="2:8" ht="15" customHeight="1" x14ac:dyDescent="0.3">
      <c r="B46" s="28" t="s">
        <v>92</v>
      </c>
      <c r="C46" s="28" t="s">
        <v>35</v>
      </c>
      <c r="D46" s="56" t="s">
        <v>216</v>
      </c>
      <c r="E46" s="56" t="s">
        <v>210</v>
      </c>
      <c r="F46" s="28" t="s">
        <v>40</v>
      </c>
      <c r="G46" s="57">
        <v>46309</v>
      </c>
      <c r="H46" s="58" t="s">
        <v>282</v>
      </c>
    </row>
    <row r="47" spans="2:8" ht="15" customHeight="1" x14ac:dyDescent="0.3">
      <c r="B47" s="28" t="s">
        <v>92</v>
      </c>
      <c r="C47" s="28" t="s">
        <v>35</v>
      </c>
      <c r="D47" s="56" t="s">
        <v>216</v>
      </c>
      <c r="E47" s="56" t="s">
        <v>217</v>
      </c>
      <c r="F47" s="28" t="s">
        <v>40</v>
      </c>
      <c r="G47" s="57">
        <v>46309</v>
      </c>
      <c r="H47" s="58" t="s">
        <v>282</v>
      </c>
    </row>
    <row r="48" spans="2:8" ht="15" customHeight="1" x14ac:dyDescent="0.3">
      <c r="B48" s="28" t="s">
        <v>92</v>
      </c>
      <c r="C48" s="28" t="s">
        <v>35</v>
      </c>
      <c r="D48" s="56" t="s">
        <v>177</v>
      </c>
      <c r="E48" s="56" t="s">
        <v>194</v>
      </c>
      <c r="F48" s="28" t="s">
        <v>40</v>
      </c>
      <c r="G48" s="57">
        <v>46309</v>
      </c>
      <c r="H48" s="58" t="s">
        <v>282</v>
      </c>
    </row>
    <row r="49" spans="2:8" ht="15" customHeight="1" x14ac:dyDescent="0.3">
      <c r="B49" s="28" t="s">
        <v>92</v>
      </c>
      <c r="C49" s="28" t="s">
        <v>35</v>
      </c>
      <c r="D49" s="56" t="s">
        <v>177</v>
      </c>
      <c r="E49" s="56" t="s">
        <v>213</v>
      </c>
      <c r="F49" s="28" t="s">
        <v>40</v>
      </c>
      <c r="G49" s="57">
        <v>46309</v>
      </c>
      <c r="H49" s="58" t="s">
        <v>282</v>
      </c>
    </row>
    <row r="50" spans="2:8" ht="15" customHeight="1" x14ac:dyDescent="0.3">
      <c r="B50" s="28" t="s">
        <v>92</v>
      </c>
      <c r="C50" s="28" t="s">
        <v>35</v>
      </c>
      <c r="D50" s="56" t="s">
        <v>177</v>
      </c>
      <c r="E50" s="56" t="s">
        <v>218</v>
      </c>
      <c r="F50" s="28" t="s">
        <v>40</v>
      </c>
      <c r="G50" s="57">
        <v>46309</v>
      </c>
      <c r="H50" s="58" t="s">
        <v>282</v>
      </c>
    </row>
    <row r="51" spans="2:8" ht="15" customHeight="1" x14ac:dyDescent="0.3">
      <c r="B51" s="28" t="s">
        <v>92</v>
      </c>
      <c r="C51" s="28" t="s">
        <v>35</v>
      </c>
      <c r="D51" s="56" t="s">
        <v>219</v>
      </c>
      <c r="E51" s="56" t="s">
        <v>208</v>
      </c>
      <c r="F51" s="28" t="s">
        <v>40</v>
      </c>
      <c r="G51" s="57">
        <v>46309</v>
      </c>
      <c r="H51" s="58" t="s">
        <v>282</v>
      </c>
    </row>
    <row r="52" spans="2:8" ht="15" customHeight="1" x14ac:dyDescent="0.3">
      <c r="B52" s="28" t="s">
        <v>92</v>
      </c>
      <c r="C52" s="28" t="s">
        <v>35</v>
      </c>
      <c r="D52" s="56" t="s">
        <v>219</v>
      </c>
      <c r="E52" s="56" t="s">
        <v>210</v>
      </c>
      <c r="F52" s="28" t="s">
        <v>40</v>
      </c>
      <c r="G52" s="57">
        <v>46309</v>
      </c>
      <c r="H52" s="58" t="s">
        <v>282</v>
      </c>
    </row>
    <row r="53" spans="2:8" ht="15" customHeight="1" x14ac:dyDescent="0.3">
      <c r="B53" s="28" t="s">
        <v>92</v>
      </c>
      <c r="C53" s="28" t="s">
        <v>35</v>
      </c>
      <c r="D53" s="56" t="s">
        <v>220</v>
      </c>
      <c r="E53" s="56" t="s">
        <v>178</v>
      </c>
      <c r="F53" s="28" t="s">
        <v>40</v>
      </c>
      <c r="G53" s="57">
        <v>46309</v>
      </c>
      <c r="H53" s="58" t="s">
        <v>282</v>
      </c>
    </row>
    <row r="54" spans="2:8" ht="15" customHeight="1" x14ac:dyDescent="0.3">
      <c r="B54" s="28" t="s">
        <v>92</v>
      </c>
      <c r="C54" s="28" t="s">
        <v>35</v>
      </c>
      <c r="D54" s="56" t="s">
        <v>220</v>
      </c>
      <c r="E54" s="56" t="s">
        <v>218</v>
      </c>
      <c r="F54" s="28" t="s">
        <v>40</v>
      </c>
      <c r="G54" s="57">
        <v>46309</v>
      </c>
      <c r="H54" s="58" t="s">
        <v>282</v>
      </c>
    </row>
    <row r="55" spans="2:8" ht="15" customHeight="1" x14ac:dyDescent="0.3">
      <c r="B55" s="28" t="s">
        <v>92</v>
      </c>
      <c r="C55" s="28" t="s">
        <v>35</v>
      </c>
      <c r="D55" s="56" t="s">
        <v>216</v>
      </c>
      <c r="E55" s="56" t="s">
        <v>196</v>
      </c>
      <c r="F55" s="28" t="s">
        <v>40</v>
      </c>
      <c r="G55" s="57">
        <v>46309</v>
      </c>
      <c r="H55" s="58" t="s">
        <v>282</v>
      </c>
    </row>
    <row r="56" spans="2:8" ht="15" customHeight="1" x14ac:dyDescent="0.3">
      <c r="B56" s="28" t="s">
        <v>92</v>
      </c>
      <c r="C56" s="28" t="s">
        <v>35</v>
      </c>
      <c r="D56" s="56" t="s">
        <v>219</v>
      </c>
      <c r="E56" s="56" t="s">
        <v>196</v>
      </c>
      <c r="F56" s="28" t="s">
        <v>40</v>
      </c>
      <c r="G56" s="57">
        <v>46309</v>
      </c>
      <c r="H56" s="58" t="s">
        <v>282</v>
      </c>
    </row>
    <row r="57" spans="2:8" ht="15" customHeight="1" x14ac:dyDescent="0.3">
      <c r="B57" s="28" t="s">
        <v>92</v>
      </c>
      <c r="C57" s="28" t="s">
        <v>35</v>
      </c>
      <c r="D57" s="56" t="s">
        <v>221</v>
      </c>
      <c r="E57" s="56" t="s">
        <v>196</v>
      </c>
      <c r="F57" s="28" t="s">
        <v>40</v>
      </c>
      <c r="G57" s="57">
        <v>46309</v>
      </c>
      <c r="H57" s="58" t="s">
        <v>282</v>
      </c>
    </row>
    <row r="58" spans="2:8" ht="15" customHeight="1" x14ac:dyDescent="0.3">
      <c r="B58" s="28" t="s">
        <v>92</v>
      </c>
      <c r="C58" s="28" t="s">
        <v>35</v>
      </c>
      <c r="D58" s="56" t="s">
        <v>222</v>
      </c>
      <c r="E58" s="56" t="s">
        <v>196</v>
      </c>
      <c r="F58" s="28" t="s">
        <v>40</v>
      </c>
      <c r="G58" s="57">
        <v>46309</v>
      </c>
      <c r="H58" s="58" t="s">
        <v>282</v>
      </c>
    </row>
    <row r="59" spans="2:8" ht="15" customHeight="1" x14ac:dyDescent="0.3">
      <c r="B59" s="28" t="s">
        <v>92</v>
      </c>
      <c r="C59" s="28" t="s">
        <v>35</v>
      </c>
      <c r="D59" s="56" t="s">
        <v>223</v>
      </c>
      <c r="E59" s="56" t="s">
        <v>196</v>
      </c>
      <c r="F59" s="28" t="s">
        <v>40</v>
      </c>
      <c r="G59" s="57">
        <v>46309</v>
      </c>
      <c r="H59" s="58" t="s">
        <v>282</v>
      </c>
    </row>
    <row r="60" spans="2:8" ht="15" customHeight="1" x14ac:dyDescent="0.3">
      <c r="B60" s="28" t="s">
        <v>92</v>
      </c>
      <c r="C60" s="28" t="s">
        <v>35</v>
      </c>
      <c r="D60" s="56" t="s">
        <v>224</v>
      </c>
      <c r="E60" s="56" t="s">
        <v>196</v>
      </c>
      <c r="F60" s="28" t="s">
        <v>40</v>
      </c>
      <c r="G60" s="57">
        <v>46309</v>
      </c>
      <c r="H60" s="58" t="s">
        <v>282</v>
      </c>
    </row>
    <row r="61" spans="2:8" ht="15" customHeight="1" x14ac:dyDescent="0.3">
      <c r="B61" s="28" t="s">
        <v>92</v>
      </c>
      <c r="C61" s="28" t="s">
        <v>35</v>
      </c>
      <c r="D61" s="56" t="s">
        <v>225</v>
      </c>
      <c r="E61" s="56" t="s">
        <v>196</v>
      </c>
      <c r="F61" s="28" t="s">
        <v>40</v>
      </c>
      <c r="G61" s="57">
        <v>46309</v>
      </c>
      <c r="H61" s="58" t="s">
        <v>282</v>
      </c>
    </row>
    <row r="62" spans="2:8" ht="15" customHeight="1" x14ac:dyDescent="0.3">
      <c r="B62" s="28" t="s">
        <v>92</v>
      </c>
      <c r="C62" s="28" t="s">
        <v>35</v>
      </c>
      <c r="D62" s="56" t="s">
        <v>226</v>
      </c>
      <c r="E62" s="56" t="s">
        <v>196</v>
      </c>
      <c r="F62" s="28" t="s">
        <v>40</v>
      </c>
      <c r="G62" s="57">
        <v>46309</v>
      </c>
      <c r="H62" s="58" t="s">
        <v>282</v>
      </c>
    </row>
    <row r="63" spans="2:8" ht="15" customHeight="1" x14ac:dyDescent="0.3">
      <c r="B63" s="28" t="s">
        <v>92</v>
      </c>
      <c r="C63" s="28" t="s">
        <v>35</v>
      </c>
      <c r="D63" s="56" t="s">
        <v>227</v>
      </c>
      <c r="E63" s="56" t="s">
        <v>196</v>
      </c>
      <c r="F63" s="28" t="s">
        <v>40</v>
      </c>
      <c r="G63" s="57">
        <v>46309</v>
      </c>
      <c r="H63" s="58" t="s">
        <v>282</v>
      </c>
    </row>
    <row r="64" spans="2:8" ht="15" customHeight="1" x14ac:dyDescent="0.3">
      <c r="B64" s="28" t="s">
        <v>92</v>
      </c>
      <c r="C64" s="28" t="s">
        <v>35</v>
      </c>
      <c r="D64" s="56" t="s">
        <v>179</v>
      </c>
      <c r="E64" s="56" t="s">
        <v>196</v>
      </c>
      <c r="F64" s="28" t="s">
        <v>40</v>
      </c>
      <c r="G64" s="57">
        <v>46309</v>
      </c>
      <c r="H64" s="58" t="s">
        <v>282</v>
      </c>
    </row>
    <row r="65" spans="2:8" ht="15" customHeight="1" x14ac:dyDescent="0.3">
      <c r="B65" s="28" t="s">
        <v>92</v>
      </c>
      <c r="C65" s="28" t="s">
        <v>35</v>
      </c>
      <c r="D65" s="56" t="s">
        <v>181</v>
      </c>
      <c r="E65" s="56" t="s">
        <v>196</v>
      </c>
      <c r="F65" s="28" t="s">
        <v>40</v>
      </c>
      <c r="G65" s="57">
        <v>46309</v>
      </c>
      <c r="H65" s="58" t="s">
        <v>282</v>
      </c>
    </row>
    <row r="66" spans="2:8" ht="15" customHeight="1" x14ac:dyDescent="0.3">
      <c r="B66" s="28" t="s">
        <v>92</v>
      </c>
      <c r="C66" s="28" t="s">
        <v>35</v>
      </c>
      <c r="D66" s="56" t="s">
        <v>228</v>
      </c>
      <c r="E66" s="56" t="s">
        <v>196</v>
      </c>
      <c r="F66" s="28" t="s">
        <v>40</v>
      </c>
      <c r="G66" s="57">
        <v>46309</v>
      </c>
      <c r="H66" s="58" t="s">
        <v>282</v>
      </c>
    </row>
    <row r="67" spans="2:8" ht="15" customHeight="1" x14ac:dyDescent="0.3">
      <c r="B67" s="28" t="s">
        <v>92</v>
      </c>
      <c r="C67" s="28" t="s">
        <v>35</v>
      </c>
      <c r="D67" s="56" t="s">
        <v>229</v>
      </c>
      <c r="E67" s="56" t="s">
        <v>196</v>
      </c>
      <c r="F67" s="28" t="s">
        <v>40</v>
      </c>
      <c r="G67" s="57">
        <v>46309</v>
      </c>
      <c r="H67" s="58" t="s">
        <v>282</v>
      </c>
    </row>
    <row r="68" spans="2:8" ht="15" customHeight="1" x14ac:dyDescent="0.3">
      <c r="B68" s="28" t="s">
        <v>92</v>
      </c>
      <c r="C68" s="28" t="s">
        <v>35</v>
      </c>
      <c r="D68" s="56" t="s">
        <v>230</v>
      </c>
      <c r="E68" s="56" t="s">
        <v>196</v>
      </c>
      <c r="F68" s="28" t="s">
        <v>40</v>
      </c>
      <c r="G68" s="57">
        <v>46309</v>
      </c>
      <c r="H68" s="58" t="s">
        <v>282</v>
      </c>
    </row>
    <row r="69" spans="2:8" ht="15" customHeight="1" x14ac:dyDescent="0.3">
      <c r="B69" s="28" t="s">
        <v>92</v>
      </c>
      <c r="C69" s="28" t="s">
        <v>35</v>
      </c>
      <c r="D69" s="56" t="s">
        <v>231</v>
      </c>
      <c r="E69" s="56" t="s">
        <v>196</v>
      </c>
      <c r="F69" s="28" t="s">
        <v>40</v>
      </c>
      <c r="G69" s="57">
        <v>46309</v>
      </c>
      <c r="H69" s="58" t="s">
        <v>282</v>
      </c>
    </row>
    <row r="70" spans="2:8" ht="15" customHeight="1" x14ac:dyDescent="0.3">
      <c r="B70" s="28" t="s">
        <v>92</v>
      </c>
      <c r="C70" s="28" t="s">
        <v>35</v>
      </c>
      <c r="D70" s="56" t="s">
        <v>171</v>
      </c>
      <c r="E70" s="56" t="s">
        <v>196</v>
      </c>
      <c r="F70" s="28" t="s">
        <v>40</v>
      </c>
      <c r="G70" s="57">
        <v>46309</v>
      </c>
      <c r="H70" s="58" t="s">
        <v>282</v>
      </c>
    </row>
    <row r="71" spans="2:8" ht="15" customHeight="1" x14ac:dyDescent="0.3">
      <c r="B71" s="28" t="s">
        <v>96</v>
      </c>
      <c r="C71" s="28" t="s">
        <v>44</v>
      </c>
      <c r="D71" s="56" t="s">
        <v>211</v>
      </c>
      <c r="E71" s="56" t="s">
        <v>232</v>
      </c>
      <c r="F71" s="28" t="s">
        <v>49</v>
      </c>
      <c r="G71" s="57">
        <v>46309</v>
      </c>
      <c r="H71" s="58" t="s">
        <v>283</v>
      </c>
    </row>
    <row r="72" spans="2:8" ht="15" customHeight="1" x14ac:dyDescent="0.3">
      <c r="B72" s="28" t="s">
        <v>96</v>
      </c>
      <c r="C72" s="28" t="s">
        <v>44</v>
      </c>
      <c r="D72" s="56" t="s">
        <v>211</v>
      </c>
      <c r="E72" s="56" t="s">
        <v>233</v>
      </c>
      <c r="F72" s="28" t="s">
        <v>49</v>
      </c>
      <c r="G72" s="57">
        <v>46309</v>
      </c>
      <c r="H72" s="58" t="s">
        <v>283</v>
      </c>
    </row>
    <row r="73" spans="2:8" ht="15" customHeight="1" x14ac:dyDescent="0.3">
      <c r="B73" s="28" t="s">
        <v>96</v>
      </c>
      <c r="C73" s="28" t="s">
        <v>44</v>
      </c>
      <c r="D73" s="56" t="s">
        <v>219</v>
      </c>
      <c r="E73" s="56" t="s">
        <v>234</v>
      </c>
      <c r="F73" s="28" t="s">
        <v>49</v>
      </c>
      <c r="G73" s="57">
        <v>46309</v>
      </c>
      <c r="H73" s="58" t="s">
        <v>283</v>
      </c>
    </row>
    <row r="74" spans="2:8" ht="15" customHeight="1" x14ac:dyDescent="0.3">
      <c r="B74" s="28" t="s">
        <v>96</v>
      </c>
      <c r="C74" s="28" t="s">
        <v>44</v>
      </c>
      <c r="D74" s="56" t="s">
        <v>175</v>
      </c>
      <c r="E74" s="56" t="s">
        <v>235</v>
      </c>
      <c r="F74" s="28" t="s">
        <v>49</v>
      </c>
      <c r="G74" s="57">
        <v>46309</v>
      </c>
      <c r="H74" s="58" t="s">
        <v>283</v>
      </c>
    </row>
    <row r="75" spans="2:8" ht="15" customHeight="1" x14ac:dyDescent="0.3">
      <c r="B75" s="28" t="s">
        <v>96</v>
      </c>
      <c r="C75" s="28" t="s">
        <v>44</v>
      </c>
      <c r="D75" s="56" t="s">
        <v>214</v>
      </c>
      <c r="E75" s="56" t="s">
        <v>236</v>
      </c>
      <c r="F75" s="28" t="s">
        <v>49</v>
      </c>
      <c r="G75" s="57">
        <v>46309</v>
      </c>
      <c r="H75" s="58" t="s">
        <v>283</v>
      </c>
    </row>
    <row r="76" spans="2:8" ht="15" customHeight="1" x14ac:dyDescent="0.3">
      <c r="B76" s="28" t="s">
        <v>96</v>
      </c>
      <c r="C76" s="28" t="s">
        <v>44</v>
      </c>
      <c r="D76" s="56" t="s">
        <v>177</v>
      </c>
      <c r="E76" s="56" t="s">
        <v>235</v>
      </c>
      <c r="F76" s="28" t="s">
        <v>49</v>
      </c>
      <c r="G76" s="57">
        <v>46309</v>
      </c>
      <c r="H76" s="58" t="s">
        <v>283</v>
      </c>
    </row>
    <row r="77" spans="2:8" ht="15" customHeight="1" x14ac:dyDescent="0.3">
      <c r="B77" s="28" t="s">
        <v>96</v>
      </c>
      <c r="C77" s="28" t="s">
        <v>44</v>
      </c>
      <c r="D77" s="56" t="s">
        <v>181</v>
      </c>
      <c r="E77" s="56" t="s">
        <v>237</v>
      </c>
      <c r="F77" s="28" t="s">
        <v>49</v>
      </c>
      <c r="G77" s="57">
        <v>46309</v>
      </c>
      <c r="H77" s="58" t="s">
        <v>283</v>
      </c>
    </row>
    <row r="78" spans="2:8" ht="15" customHeight="1" x14ac:dyDescent="0.3">
      <c r="B78" s="28" t="s">
        <v>96</v>
      </c>
      <c r="C78" s="28" t="s">
        <v>44</v>
      </c>
      <c r="D78" s="56" t="s">
        <v>228</v>
      </c>
      <c r="E78" s="56" t="s">
        <v>238</v>
      </c>
      <c r="F78" s="28" t="s">
        <v>49</v>
      </c>
      <c r="G78" s="57">
        <v>46309</v>
      </c>
      <c r="H78" s="58" t="s">
        <v>283</v>
      </c>
    </row>
    <row r="79" spans="2:8" ht="15" customHeight="1" x14ac:dyDescent="0.3">
      <c r="B79" s="28" t="s">
        <v>96</v>
      </c>
      <c r="C79" s="28" t="s">
        <v>44</v>
      </c>
      <c r="D79" s="56" t="s">
        <v>239</v>
      </c>
      <c r="E79" s="56" t="s">
        <v>240</v>
      </c>
      <c r="F79" s="28" t="s">
        <v>49</v>
      </c>
      <c r="G79" s="57">
        <v>46309</v>
      </c>
      <c r="H79" s="58" t="s">
        <v>283</v>
      </c>
    </row>
    <row r="80" spans="2:8" ht="15" customHeight="1" x14ac:dyDescent="0.3">
      <c r="B80" s="28" t="s">
        <v>96</v>
      </c>
      <c r="C80" s="28" t="s">
        <v>44</v>
      </c>
      <c r="D80" s="56" t="s">
        <v>241</v>
      </c>
      <c r="E80" s="56" t="s">
        <v>242</v>
      </c>
      <c r="F80" s="28" t="s">
        <v>49</v>
      </c>
      <c r="G80" s="57">
        <v>46309</v>
      </c>
      <c r="H80" s="58" t="s">
        <v>283</v>
      </c>
    </row>
    <row r="81" spans="2:8" ht="15" customHeight="1" x14ac:dyDescent="0.3">
      <c r="B81" s="28" t="s">
        <v>96</v>
      </c>
      <c r="C81" s="28" t="s">
        <v>44</v>
      </c>
      <c r="D81" s="56" t="s">
        <v>243</v>
      </c>
      <c r="E81" s="56" t="s">
        <v>244</v>
      </c>
      <c r="F81" s="28" t="s">
        <v>49</v>
      </c>
      <c r="G81" s="57">
        <v>46309</v>
      </c>
      <c r="H81" s="58" t="s">
        <v>283</v>
      </c>
    </row>
    <row r="82" spans="2:8" ht="15" customHeight="1" x14ac:dyDescent="0.3">
      <c r="B82" s="28" t="s">
        <v>96</v>
      </c>
      <c r="C82" s="28" t="s">
        <v>44</v>
      </c>
      <c r="D82" s="56" t="s">
        <v>245</v>
      </c>
      <c r="E82" s="56" t="s">
        <v>237</v>
      </c>
      <c r="F82" s="28" t="s">
        <v>49</v>
      </c>
      <c r="G82" s="57">
        <v>46309</v>
      </c>
      <c r="H82" s="58" t="s">
        <v>283</v>
      </c>
    </row>
    <row r="83" spans="2:8" ht="15" customHeight="1" x14ac:dyDescent="0.3">
      <c r="B83" s="28" t="s">
        <v>96</v>
      </c>
      <c r="C83" s="28" t="s">
        <v>44</v>
      </c>
      <c r="D83" s="56" t="s">
        <v>246</v>
      </c>
      <c r="E83" s="56" t="s">
        <v>240</v>
      </c>
      <c r="F83" s="28" t="s">
        <v>49</v>
      </c>
      <c r="G83" s="57">
        <v>46309</v>
      </c>
      <c r="H83" s="58" t="s">
        <v>283</v>
      </c>
    </row>
    <row r="84" spans="2:8" ht="15" customHeight="1" x14ac:dyDescent="0.3">
      <c r="B84" s="28" t="s">
        <v>96</v>
      </c>
      <c r="C84" s="28" t="s">
        <v>44</v>
      </c>
      <c r="D84" s="56" t="s">
        <v>246</v>
      </c>
      <c r="E84" s="56" t="s">
        <v>247</v>
      </c>
      <c r="F84" s="28" t="s">
        <v>49</v>
      </c>
      <c r="G84" s="57">
        <v>46309</v>
      </c>
      <c r="H84" s="58" t="s">
        <v>283</v>
      </c>
    </row>
    <row r="85" spans="2:8" ht="15" customHeight="1" x14ac:dyDescent="0.3">
      <c r="B85" s="28" t="s">
        <v>96</v>
      </c>
      <c r="C85" s="28" t="s">
        <v>44</v>
      </c>
      <c r="D85" s="56" t="s">
        <v>207</v>
      </c>
      <c r="E85" s="56" t="s">
        <v>232</v>
      </c>
      <c r="F85" s="28" t="s">
        <v>49</v>
      </c>
      <c r="G85" s="57">
        <v>46309</v>
      </c>
      <c r="H85" s="58" t="s">
        <v>283</v>
      </c>
    </row>
    <row r="86" spans="2:8" ht="15" customHeight="1" x14ac:dyDescent="0.3">
      <c r="B86" s="28" t="s">
        <v>96</v>
      </c>
      <c r="C86" s="28" t="s">
        <v>44</v>
      </c>
      <c r="D86" s="56" t="s">
        <v>195</v>
      </c>
      <c r="E86" s="56" t="s">
        <v>233</v>
      </c>
      <c r="F86" s="28" t="s">
        <v>49</v>
      </c>
      <c r="G86" s="57">
        <v>46309</v>
      </c>
      <c r="H86" s="58" t="s">
        <v>283</v>
      </c>
    </row>
    <row r="87" spans="2:8" ht="15" customHeight="1" x14ac:dyDescent="0.3">
      <c r="B87" s="28" t="s">
        <v>96</v>
      </c>
      <c r="C87" s="28" t="s">
        <v>44</v>
      </c>
      <c r="D87" s="56" t="s">
        <v>211</v>
      </c>
      <c r="E87" s="56" t="s">
        <v>248</v>
      </c>
      <c r="F87" s="28" t="s">
        <v>49</v>
      </c>
      <c r="G87" s="57">
        <v>46309</v>
      </c>
      <c r="H87" s="58" t="s">
        <v>283</v>
      </c>
    </row>
    <row r="88" spans="2:8" ht="15" customHeight="1" x14ac:dyDescent="0.3">
      <c r="B88" s="28" t="s">
        <v>96</v>
      </c>
      <c r="C88" s="28" t="s">
        <v>44</v>
      </c>
      <c r="D88" s="56" t="s">
        <v>197</v>
      </c>
      <c r="E88" s="56" t="s">
        <v>234</v>
      </c>
      <c r="F88" s="28" t="s">
        <v>49</v>
      </c>
      <c r="G88" s="57">
        <v>46309</v>
      </c>
      <c r="H88" s="58" t="s">
        <v>283</v>
      </c>
    </row>
    <row r="89" spans="2:8" ht="15" customHeight="1" x14ac:dyDescent="0.3">
      <c r="B89" s="28" t="s">
        <v>96</v>
      </c>
      <c r="C89" s="28" t="s">
        <v>44</v>
      </c>
      <c r="D89" s="56" t="s">
        <v>175</v>
      </c>
      <c r="E89" s="56" t="s">
        <v>236</v>
      </c>
      <c r="F89" s="28" t="s">
        <v>49</v>
      </c>
      <c r="G89" s="57">
        <v>46309</v>
      </c>
      <c r="H89" s="58" t="s">
        <v>283</v>
      </c>
    </row>
    <row r="90" spans="2:8" ht="15" customHeight="1" x14ac:dyDescent="0.3">
      <c r="B90" s="28" t="s">
        <v>96</v>
      </c>
      <c r="C90" s="28" t="s">
        <v>44</v>
      </c>
      <c r="D90" s="56" t="s">
        <v>212</v>
      </c>
      <c r="E90" s="56" t="s">
        <v>249</v>
      </c>
      <c r="F90" s="28" t="s">
        <v>49</v>
      </c>
      <c r="G90" s="57">
        <v>46309</v>
      </c>
      <c r="H90" s="58" t="s">
        <v>283</v>
      </c>
    </row>
    <row r="91" spans="2:8" ht="15" customHeight="1" x14ac:dyDescent="0.3">
      <c r="B91" s="28" t="s">
        <v>96</v>
      </c>
      <c r="C91" s="28" t="s">
        <v>44</v>
      </c>
      <c r="D91" s="56" t="s">
        <v>214</v>
      </c>
      <c r="E91" s="56" t="s">
        <v>235</v>
      </c>
      <c r="F91" s="28" t="s">
        <v>49</v>
      </c>
      <c r="G91" s="57">
        <v>46309</v>
      </c>
      <c r="H91" s="58" t="s">
        <v>283</v>
      </c>
    </row>
    <row r="92" spans="2:8" ht="15" customHeight="1" x14ac:dyDescent="0.3">
      <c r="B92" s="28" t="s">
        <v>96</v>
      </c>
      <c r="C92" s="28" t="s">
        <v>44</v>
      </c>
      <c r="D92" s="56" t="s">
        <v>179</v>
      </c>
      <c r="E92" s="56" t="s">
        <v>238</v>
      </c>
      <c r="F92" s="28" t="s">
        <v>49</v>
      </c>
      <c r="G92" s="57">
        <v>46309</v>
      </c>
      <c r="H92" s="58" t="s">
        <v>283</v>
      </c>
    </row>
    <row r="93" spans="2:8" ht="15" customHeight="1" x14ac:dyDescent="0.3">
      <c r="B93" s="28" t="s">
        <v>96</v>
      </c>
      <c r="C93" s="28" t="s">
        <v>44</v>
      </c>
      <c r="D93" s="56" t="s">
        <v>215</v>
      </c>
      <c r="E93" s="56" t="s">
        <v>250</v>
      </c>
      <c r="F93" s="28" t="s">
        <v>49</v>
      </c>
      <c r="G93" s="57">
        <v>46309</v>
      </c>
      <c r="H93" s="58" t="s">
        <v>283</v>
      </c>
    </row>
    <row r="94" spans="2:8" ht="15" customHeight="1" x14ac:dyDescent="0.3">
      <c r="B94" s="28" t="s">
        <v>96</v>
      </c>
      <c r="C94" s="28" t="s">
        <v>44</v>
      </c>
      <c r="D94" s="56" t="s">
        <v>239</v>
      </c>
      <c r="E94" s="56" t="s">
        <v>247</v>
      </c>
      <c r="F94" s="28" t="s">
        <v>49</v>
      </c>
      <c r="G94" s="57">
        <v>46309</v>
      </c>
      <c r="H94" s="58" t="s">
        <v>283</v>
      </c>
    </row>
    <row r="95" spans="2:8" ht="15" customHeight="1" x14ac:dyDescent="0.3">
      <c r="B95" s="28" t="s">
        <v>96</v>
      </c>
      <c r="C95" s="28" t="s">
        <v>44</v>
      </c>
      <c r="D95" s="56" t="s">
        <v>251</v>
      </c>
      <c r="E95" s="56" t="s">
        <v>244</v>
      </c>
      <c r="F95" s="28" t="s">
        <v>49</v>
      </c>
      <c r="G95" s="57">
        <v>46309</v>
      </c>
      <c r="H95" s="58" t="s">
        <v>283</v>
      </c>
    </row>
    <row r="96" spans="2:8" ht="15" customHeight="1" x14ac:dyDescent="0.3">
      <c r="B96" s="28" t="s">
        <v>96</v>
      </c>
      <c r="C96" s="28" t="s">
        <v>44</v>
      </c>
      <c r="D96" s="56" t="s">
        <v>177</v>
      </c>
      <c r="E96" s="56" t="s">
        <v>236</v>
      </c>
      <c r="F96" s="28" t="s">
        <v>49</v>
      </c>
      <c r="G96" s="57">
        <v>46309</v>
      </c>
      <c r="H96" s="58" t="s">
        <v>283</v>
      </c>
    </row>
    <row r="97" spans="2:8" ht="15" customHeight="1" x14ac:dyDescent="0.3">
      <c r="B97" s="28" t="s">
        <v>96</v>
      </c>
      <c r="C97" s="28" t="s">
        <v>44</v>
      </c>
      <c r="D97" s="56" t="s">
        <v>177</v>
      </c>
      <c r="E97" s="56" t="s">
        <v>249</v>
      </c>
      <c r="F97" s="28" t="s">
        <v>49</v>
      </c>
      <c r="G97" s="57">
        <v>46309</v>
      </c>
      <c r="H97" s="58" t="s">
        <v>283</v>
      </c>
    </row>
    <row r="98" spans="2:8" ht="15" customHeight="1" x14ac:dyDescent="0.3">
      <c r="B98" s="28" t="s">
        <v>96</v>
      </c>
      <c r="C98" s="28" t="s">
        <v>44</v>
      </c>
      <c r="D98" s="56" t="s">
        <v>228</v>
      </c>
      <c r="E98" s="56" t="s">
        <v>252</v>
      </c>
      <c r="F98" s="28" t="s">
        <v>49</v>
      </c>
      <c r="G98" s="57">
        <v>46309</v>
      </c>
      <c r="H98" s="58" t="s">
        <v>283</v>
      </c>
    </row>
    <row r="99" spans="2:8" ht="15" customHeight="1" x14ac:dyDescent="0.3">
      <c r="B99" s="28" t="s">
        <v>96</v>
      </c>
      <c r="C99" s="28" t="s">
        <v>44</v>
      </c>
      <c r="D99" s="56" t="s">
        <v>241</v>
      </c>
      <c r="E99" s="56" t="s">
        <v>240</v>
      </c>
      <c r="F99" s="28" t="s">
        <v>49</v>
      </c>
      <c r="G99" s="57">
        <v>46309</v>
      </c>
      <c r="H99" s="58" t="s">
        <v>283</v>
      </c>
    </row>
    <row r="100" spans="2:8" ht="15" customHeight="1" x14ac:dyDescent="0.3">
      <c r="B100" s="28" t="s">
        <v>96</v>
      </c>
      <c r="C100" s="28" t="s">
        <v>44</v>
      </c>
      <c r="D100" s="56" t="s">
        <v>219</v>
      </c>
      <c r="E100" s="56" t="s">
        <v>248</v>
      </c>
      <c r="F100" s="28" t="s">
        <v>49</v>
      </c>
      <c r="G100" s="57">
        <v>46309</v>
      </c>
      <c r="H100" s="58" t="s">
        <v>283</v>
      </c>
    </row>
    <row r="101" spans="2:8" ht="15" customHeight="1" x14ac:dyDescent="0.3">
      <c r="B101" s="28" t="s">
        <v>101</v>
      </c>
      <c r="C101" s="28" t="s">
        <v>51</v>
      </c>
      <c r="D101" s="56" t="s">
        <v>199</v>
      </c>
      <c r="E101" s="56" t="s">
        <v>253</v>
      </c>
      <c r="F101" s="28" t="s">
        <v>56</v>
      </c>
      <c r="G101" s="57">
        <v>46309</v>
      </c>
      <c r="H101" s="58" t="s">
        <v>284</v>
      </c>
    </row>
    <row r="102" spans="2:8" ht="15" customHeight="1" x14ac:dyDescent="0.3">
      <c r="B102" s="28" t="s">
        <v>101</v>
      </c>
      <c r="C102" s="28" t="s">
        <v>51</v>
      </c>
      <c r="D102" s="56" t="s">
        <v>254</v>
      </c>
      <c r="E102" s="56" t="s">
        <v>253</v>
      </c>
      <c r="F102" s="28" t="s">
        <v>56</v>
      </c>
      <c r="G102" s="57">
        <v>46309</v>
      </c>
      <c r="H102" s="58" t="s">
        <v>284</v>
      </c>
    </row>
    <row r="103" spans="2:8" ht="15" customHeight="1" x14ac:dyDescent="0.3">
      <c r="B103" s="28" t="s">
        <v>101</v>
      </c>
      <c r="C103" s="28" t="s">
        <v>51</v>
      </c>
      <c r="D103" s="56" t="s">
        <v>255</v>
      </c>
      <c r="E103" s="56" t="s">
        <v>253</v>
      </c>
      <c r="F103" s="28" t="s">
        <v>56</v>
      </c>
      <c r="G103" s="57">
        <v>46309</v>
      </c>
      <c r="H103" s="58" t="s">
        <v>284</v>
      </c>
    </row>
    <row r="104" spans="2:8" ht="15" customHeight="1" x14ac:dyDescent="0.3">
      <c r="B104" s="28" t="s">
        <v>101</v>
      </c>
      <c r="C104" s="28" t="s">
        <v>51</v>
      </c>
      <c r="D104" s="56" t="s">
        <v>256</v>
      </c>
      <c r="E104" s="56" t="s">
        <v>253</v>
      </c>
      <c r="F104" s="28" t="s">
        <v>56</v>
      </c>
      <c r="G104" s="57">
        <v>46309</v>
      </c>
      <c r="H104" s="58" t="s">
        <v>284</v>
      </c>
    </row>
    <row r="105" spans="2:8" ht="15" customHeight="1" x14ac:dyDescent="0.3">
      <c r="B105" s="28" t="s">
        <v>101</v>
      </c>
      <c r="C105" s="28" t="s">
        <v>51</v>
      </c>
      <c r="D105" s="56" t="s">
        <v>257</v>
      </c>
      <c r="E105" s="56" t="s">
        <v>253</v>
      </c>
      <c r="F105" s="28" t="s">
        <v>56</v>
      </c>
      <c r="G105" s="57">
        <v>46309</v>
      </c>
      <c r="H105" s="58" t="s">
        <v>284</v>
      </c>
    </row>
    <row r="106" spans="2:8" ht="15" customHeight="1" x14ac:dyDescent="0.3">
      <c r="B106" s="28" t="s">
        <v>101</v>
      </c>
      <c r="C106" s="28" t="s">
        <v>51</v>
      </c>
      <c r="D106" s="56" t="s">
        <v>258</v>
      </c>
      <c r="E106" s="56" t="s">
        <v>253</v>
      </c>
      <c r="F106" s="28" t="s">
        <v>56</v>
      </c>
      <c r="G106" s="57">
        <v>46309</v>
      </c>
      <c r="H106" s="58" t="s">
        <v>284</v>
      </c>
    </row>
    <row r="107" spans="2:8" ht="15" customHeight="1" x14ac:dyDescent="0.3">
      <c r="B107" s="28" t="s">
        <v>105</v>
      </c>
      <c r="C107" s="28" t="s">
        <v>59</v>
      </c>
      <c r="D107" s="56" t="s">
        <v>207</v>
      </c>
      <c r="E107" s="56" t="s">
        <v>259</v>
      </c>
      <c r="F107" s="28" t="s">
        <v>64</v>
      </c>
      <c r="G107" s="57">
        <v>46309</v>
      </c>
      <c r="H107" s="58" t="s">
        <v>285</v>
      </c>
    </row>
    <row r="108" spans="2:8" ht="15" customHeight="1" x14ac:dyDescent="0.3">
      <c r="B108" s="28" t="s">
        <v>105</v>
      </c>
      <c r="C108" s="28" t="s">
        <v>59</v>
      </c>
      <c r="D108" s="56" t="s">
        <v>195</v>
      </c>
      <c r="E108" s="56" t="s">
        <v>259</v>
      </c>
      <c r="F108" s="28" t="s">
        <v>64</v>
      </c>
      <c r="G108" s="57">
        <v>46309</v>
      </c>
      <c r="H108" s="58" t="s">
        <v>285</v>
      </c>
    </row>
    <row r="109" spans="2:8" ht="15" customHeight="1" x14ac:dyDescent="0.3">
      <c r="B109" s="28" t="s">
        <v>105</v>
      </c>
      <c r="C109" s="28" t="s">
        <v>59</v>
      </c>
      <c r="D109" s="56" t="s">
        <v>211</v>
      </c>
      <c r="E109" s="56" t="s">
        <v>259</v>
      </c>
      <c r="F109" s="28" t="s">
        <v>64</v>
      </c>
      <c r="G109" s="57">
        <v>46309</v>
      </c>
      <c r="H109" s="58" t="s">
        <v>285</v>
      </c>
    </row>
    <row r="110" spans="2:8" ht="15" customHeight="1" x14ac:dyDescent="0.3">
      <c r="B110" s="28" t="s">
        <v>105</v>
      </c>
      <c r="C110" s="28" t="s">
        <v>59</v>
      </c>
      <c r="D110" s="56" t="s">
        <v>197</v>
      </c>
      <c r="E110" s="56" t="s">
        <v>259</v>
      </c>
      <c r="F110" s="28" t="s">
        <v>64</v>
      </c>
      <c r="G110" s="57">
        <v>46309</v>
      </c>
      <c r="H110" s="58" t="s">
        <v>285</v>
      </c>
    </row>
    <row r="111" spans="2:8" ht="15" customHeight="1" x14ac:dyDescent="0.3">
      <c r="B111" s="28" t="s">
        <v>105</v>
      </c>
      <c r="C111" s="28" t="s">
        <v>59</v>
      </c>
      <c r="D111" s="56" t="s">
        <v>216</v>
      </c>
      <c r="E111" s="56" t="s">
        <v>259</v>
      </c>
      <c r="F111" s="28" t="s">
        <v>64</v>
      </c>
      <c r="G111" s="57">
        <v>46309</v>
      </c>
      <c r="H111" s="58" t="s">
        <v>285</v>
      </c>
    </row>
    <row r="112" spans="2:8" ht="15" customHeight="1" x14ac:dyDescent="0.3">
      <c r="B112" s="28" t="s">
        <v>105</v>
      </c>
      <c r="C112" s="28" t="s">
        <v>59</v>
      </c>
      <c r="D112" s="56" t="s">
        <v>219</v>
      </c>
      <c r="E112" s="56" t="s">
        <v>259</v>
      </c>
      <c r="F112" s="28" t="s">
        <v>64</v>
      </c>
      <c r="G112" s="57">
        <v>46309</v>
      </c>
      <c r="H112" s="58" t="s">
        <v>285</v>
      </c>
    </row>
    <row r="113" spans="2:8" ht="15" customHeight="1" x14ac:dyDescent="0.3">
      <c r="B113" s="28" t="s">
        <v>105</v>
      </c>
      <c r="C113" s="28" t="s">
        <v>59</v>
      </c>
      <c r="D113" s="56" t="s">
        <v>260</v>
      </c>
      <c r="E113" s="56" t="s">
        <v>259</v>
      </c>
      <c r="F113" s="28" t="s">
        <v>64</v>
      </c>
      <c r="G113" s="57">
        <v>46309</v>
      </c>
      <c r="H113" s="58" t="s">
        <v>285</v>
      </c>
    </row>
    <row r="114" spans="2:8" ht="15" customHeight="1" x14ac:dyDescent="0.3">
      <c r="B114" s="28" t="s">
        <v>105</v>
      </c>
      <c r="C114" s="28" t="s">
        <v>59</v>
      </c>
      <c r="D114" s="56" t="s">
        <v>261</v>
      </c>
      <c r="E114" s="56" t="s">
        <v>259</v>
      </c>
      <c r="F114" s="28" t="s">
        <v>64</v>
      </c>
      <c r="G114" s="57">
        <v>46309</v>
      </c>
      <c r="H114" s="58" t="s">
        <v>285</v>
      </c>
    </row>
    <row r="115" spans="2:8" ht="15" customHeight="1" x14ac:dyDescent="0.3">
      <c r="B115" s="28" t="s">
        <v>105</v>
      </c>
      <c r="C115" s="28" t="s">
        <v>59</v>
      </c>
      <c r="D115" s="56" t="s">
        <v>262</v>
      </c>
      <c r="E115" s="56" t="s">
        <v>259</v>
      </c>
      <c r="F115" s="28" t="s">
        <v>64</v>
      </c>
      <c r="G115" s="57">
        <v>46309</v>
      </c>
      <c r="H115" s="58" t="s">
        <v>285</v>
      </c>
    </row>
    <row r="116" spans="2:8" ht="15" customHeight="1" x14ac:dyDescent="0.3">
      <c r="B116" s="28" t="s">
        <v>105</v>
      </c>
      <c r="C116" s="28" t="s">
        <v>59</v>
      </c>
      <c r="D116" s="56" t="s">
        <v>263</v>
      </c>
      <c r="E116" s="56" t="s">
        <v>259</v>
      </c>
      <c r="F116" s="28" t="s">
        <v>64</v>
      </c>
      <c r="G116" s="57">
        <v>46309</v>
      </c>
      <c r="H116" s="58" t="s">
        <v>285</v>
      </c>
    </row>
    <row r="117" spans="2:8" ht="15" customHeight="1" x14ac:dyDescent="0.3">
      <c r="B117" s="28" t="s">
        <v>105</v>
      </c>
      <c r="C117" s="28" t="s">
        <v>59</v>
      </c>
      <c r="D117" s="56" t="s">
        <v>264</v>
      </c>
      <c r="E117" s="56" t="s">
        <v>259</v>
      </c>
      <c r="F117" s="28" t="s">
        <v>64</v>
      </c>
      <c r="G117" s="57">
        <v>46309</v>
      </c>
      <c r="H117" s="58" t="s">
        <v>285</v>
      </c>
    </row>
    <row r="118" spans="2:8" ht="15" customHeight="1" x14ac:dyDescent="0.3">
      <c r="B118" s="28" t="s">
        <v>105</v>
      </c>
      <c r="C118" s="28" t="s">
        <v>59</v>
      </c>
      <c r="D118" s="56" t="s">
        <v>265</v>
      </c>
      <c r="E118" s="56" t="s">
        <v>259</v>
      </c>
      <c r="F118" s="28" t="s">
        <v>64</v>
      </c>
      <c r="G118" s="57">
        <v>46309</v>
      </c>
      <c r="H118" s="58" t="s">
        <v>285</v>
      </c>
    </row>
    <row r="119" spans="2:8" ht="15" customHeight="1" x14ac:dyDescent="0.3">
      <c r="B119" s="28" t="s">
        <v>105</v>
      </c>
      <c r="C119" s="28" t="s">
        <v>59</v>
      </c>
      <c r="D119" s="56" t="s">
        <v>266</v>
      </c>
      <c r="E119" s="56" t="s">
        <v>259</v>
      </c>
      <c r="F119" s="28" t="s">
        <v>64</v>
      </c>
      <c r="G119" s="57">
        <v>46309</v>
      </c>
      <c r="H119" s="58" t="s">
        <v>285</v>
      </c>
    </row>
    <row r="120" spans="2:8" ht="15" customHeight="1" x14ac:dyDescent="0.3">
      <c r="B120" s="28" t="s">
        <v>105</v>
      </c>
      <c r="C120" s="28" t="s">
        <v>59</v>
      </c>
      <c r="D120" s="56" t="s">
        <v>267</v>
      </c>
      <c r="E120" s="56" t="s">
        <v>259</v>
      </c>
      <c r="F120" s="28" t="s">
        <v>64</v>
      </c>
      <c r="G120" s="57">
        <v>46309</v>
      </c>
      <c r="H120" s="58" t="s">
        <v>285</v>
      </c>
    </row>
    <row r="121" spans="2:8" ht="15" customHeight="1" x14ac:dyDescent="0.3">
      <c r="B121" s="28" t="s">
        <v>105</v>
      </c>
      <c r="C121" s="28" t="s">
        <v>59</v>
      </c>
      <c r="D121" s="56" t="s">
        <v>268</v>
      </c>
      <c r="E121" s="56" t="s">
        <v>259</v>
      </c>
      <c r="F121" s="28" t="s">
        <v>64</v>
      </c>
      <c r="G121" s="57">
        <v>46309</v>
      </c>
      <c r="H121" s="58" t="s">
        <v>285</v>
      </c>
    </row>
    <row r="122" spans="2:8" ht="15" customHeight="1" x14ac:dyDescent="0.3">
      <c r="B122" s="28" t="s">
        <v>105</v>
      </c>
      <c r="C122" s="28" t="s">
        <v>59</v>
      </c>
      <c r="D122" s="56" t="s">
        <v>269</v>
      </c>
      <c r="E122" s="56" t="s">
        <v>259</v>
      </c>
      <c r="F122" s="28" t="s">
        <v>64</v>
      </c>
      <c r="G122" s="57">
        <v>46309</v>
      </c>
      <c r="H122" s="58" t="s">
        <v>285</v>
      </c>
    </row>
    <row r="123" spans="2:8" ht="15" customHeight="1" x14ac:dyDescent="0.3">
      <c r="B123" s="28" t="s">
        <v>105</v>
      </c>
      <c r="C123" s="28" t="s">
        <v>59</v>
      </c>
      <c r="D123" s="56" t="s">
        <v>270</v>
      </c>
      <c r="E123" s="56" t="s">
        <v>259</v>
      </c>
      <c r="F123" s="28" t="s">
        <v>64</v>
      </c>
      <c r="G123" s="57">
        <v>46309</v>
      </c>
      <c r="H123" s="58" t="s">
        <v>285</v>
      </c>
    </row>
    <row r="124" spans="2:8" ht="15" customHeight="1" x14ac:dyDescent="0.3">
      <c r="B124" s="28" t="s">
        <v>105</v>
      </c>
      <c r="C124" s="28" t="s">
        <v>59</v>
      </c>
      <c r="D124" s="56" t="s">
        <v>271</v>
      </c>
      <c r="E124" s="56" t="s">
        <v>259</v>
      </c>
      <c r="F124" s="28" t="s">
        <v>64</v>
      </c>
      <c r="G124" s="57">
        <v>46309</v>
      </c>
      <c r="H124" s="58" t="s">
        <v>285</v>
      </c>
    </row>
    <row r="125" spans="2:8" ht="15" customHeight="1" x14ac:dyDescent="0.3">
      <c r="B125" s="28" t="s">
        <v>105</v>
      </c>
      <c r="C125" s="28" t="s">
        <v>59</v>
      </c>
      <c r="D125" s="56" t="s">
        <v>272</v>
      </c>
      <c r="E125" s="56" t="s">
        <v>259</v>
      </c>
      <c r="F125" s="28" t="s">
        <v>64</v>
      </c>
      <c r="G125" s="57">
        <v>46309</v>
      </c>
      <c r="H125" s="58" t="s">
        <v>285</v>
      </c>
    </row>
    <row r="126" spans="2:8" ht="15" customHeight="1" x14ac:dyDescent="0.3">
      <c r="B126" s="28" t="s">
        <v>105</v>
      </c>
      <c r="C126" s="28" t="s">
        <v>59</v>
      </c>
      <c r="D126" s="56" t="s">
        <v>273</v>
      </c>
      <c r="E126" s="56" t="s">
        <v>259</v>
      </c>
      <c r="F126" s="28" t="s">
        <v>64</v>
      </c>
      <c r="G126" s="57">
        <v>46309</v>
      </c>
      <c r="H126" s="58" t="s">
        <v>285</v>
      </c>
    </row>
    <row r="127" spans="2:8" ht="15" customHeight="1" x14ac:dyDescent="0.3">
      <c r="B127" s="28" t="s">
        <v>105</v>
      </c>
      <c r="C127" s="28" t="s">
        <v>59</v>
      </c>
      <c r="D127" s="56" t="s">
        <v>274</v>
      </c>
      <c r="E127" s="56" t="s">
        <v>259</v>
      </c>
      <c r="F127" s="28" t="s">
        <v>64</v>
      </c>
      <c r="G127" s="57">
        <v>46309</v>
      </c>
      <c r="H127" s="58" t="s">
        <v>285</v>
      </c>
    </row>
    <row r="128" spans="2:8" ht="15" customHeight="1" x14ac:dyDescent="0.3">
      <c r="B128" s="28" t="s">
        <v>105</v>
      </c>
      <c r="C128" s="28" t="s">
        <v>59</v>
      </c>
      <c r="D128" s="56" t="s">
        <v>275</v>
      </c>
      <c r="E128" s="56" t="s">
        <v>259</v>
      </c>
      <c r="F128" s="28" t="s">
        <v>64</v>
      </c>
      <c r="G128" s="57">
        <v>46309</v>
      </c>
      <c r="H128" s="58" t="s">
        <v>285</v>
      </c>
    </row>
    <row r="129" spans="2:8" ht="15" customHeight="1" x14ac:dyDescent="0.3">
      <c r="B129" s="28" t="s">
        <v>105</v>
      </c>
      <c r="C129" s="28" t="s">
        <v>59</v>
      </c>
      <c r="D129" s="56" t="s">
        <v>276</v>
      </c>
      <c r="E129" s="56" t="s">
        <v>259</v>
      </c>
      <c r="F129" s="28" t="s">
        <v>64</v>
      </c>
      <c r="G129" s="57">
        <v>46309</v>
      </c>
      <c r="H129" s="58" t="s">
        <v>285</v>
      </c>
    </row>
    <row r="130" spans="2:8" ht="15" customHeight="1" x14ac:dyDescent="0.3">
      <c r="B130" s="28" t="s">
        <v>105</v>
      </c>
      <c r="C130" s="28" t="s">
        <v>59</v>
      </c>
      <c r="D130" s="56" t="s">
        <v>277</v>
      </c>
      <c r="E130" s="56" t="s">
        <v>259</v>
      </c>
      <c r="F130" s="28" t="s">
        <v>64</v>
      </c>
      <c r="G130" s="57">
        <v>46309</v>
      </c>
      <c r="H130" s="58" t="s">
        <v>285</v>
      </c>
    </row>
    <row r="131" spans="2:8" ht="15" customHeight="1" x14ac:dyDescent="0.3">
      <c r="B131" s="28" t="s">
        <v>105</v>
      </c>
      <c r="C131" s="28" t="s">
        <v>59</v>
      </c>
      <c r="D131" s="56" t="s">
        <v>278</v>
      </c>
      <c r="E131" s="56" t="s">
        <v>259</v>
      </c>
      <c r="F131" s="28" t="s">
        <v>64</v>
      </c>
      <c r="G131" s="57">
        <v>46309</v>
      </c>
      <c r="H131" s="58" t="s">
        <v>285</v>
      </c>
    </row>
    <row r="132" spans="2:8" ht="15" customHeight="1" x14ac:dyDescent="0.3">
      <c r="B132" s="28" t="s">
        <v>105</v>
      </c>
      <c r="C132" s="28" t="s">
        <v>59</v>
      </c>
      <c r="D132" s="56" t="s">
        <v>279</v>
      </c>
      <c r="E132" s="56" t="s">
        <v>259</v>
      </c>
      <c r="F132" s="28" t="s">
        <v>64</v>
      </c>
      <c r="G132" s="57">
        <v>46309</v>
      </c>
      <c r="H132" s="58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CF3A-2612-4478-8199-4A9155E1FFDF}">
  <dimension ref="B2:I31"/>
  <sheetViews>
    <sheetView showGridLines="0" zoomScale="58" workbookViewId="0">
      <selection activeCell="I18" sqref="I18"/>
    </sheetView>
  </sheetViews>
  <sheetFormatPr defaultRowHeight="14.4" x14ac:dyDescent="0.3"/>
  <cols>
    <col min="2" max="2" width="87" bestFit="1" customWidth="1"/>
    <col min="3" max="3" width="23.88671875" bestFit="1" customWidth="1"/>
    <col min="4" max="4" width="17.33203125" bestFit="1" customWidth="1"/>
    <col min="5" max="5" width="10.88671875" bestFit="1" customWidth="1"/>
    <col min="6" max="6" width="19.6640625" bestFit="1" customWidth="1"/>
    <col min="7" max="7" width="16.5546875" bestFit="1" customWidth="1"/>
    <col min="8" max="8" width="18.5546875" bestFit="1" customWidth="1"/>
    <col min="9" max="9" width="30.77734375" bestFit="1" customWidth="1"/>
  </cols>
  <sheetData>
    <row r="2" spans="2:9" ht="29.4" customHeight="1" x14ac:dyDescent="0.3">
      <c r="B2" s="49" t="s">
        <v>165</v>
      </c>
    </row>
    <row r="3" spans="2:9" ht="19.95" customHeight="1" x14ac:dyDescent="0.3">
      <c r="B3" s="34"/>
    </row>
    <row r="4" spans="2:9" ht="19.95" customHeight="1" x14ac:dyDescent="0.3"/>
    <row r="5" spans="2:9" ht="19.95" customHeight="1" x14ac:dyDescent="0.3">
      <c r="B5" s="46" t="s">
        <v>115</v>
      </c>
      <c r="C5" s="46" t="s">
        <v>57</v>
      </c>
      <c r="D5" s="46" t="s">
        <v>41</v>
      </c>
      <c r="E5" s="46" t="s">
        <v>118</v>
      </c>
      <c r="F5" s="46" t="s">
        <v>119</v>
      </c>
      <c r="G5" s="46" t="s">
        <v>145</v>
      </c>
      <c r="H5" s="46" t="s">
        <v>146</v>
      </c>
    </row>
    <row r="6" spans="2:9" ht="19.95" customHeight="1" x14ac:dyDescent="0.3">
      <c r="B6" s="50">
        <v>200</v>
      </c>
      <c r="C6" s="50">
        <v>260</v>
      </c>
      <c r="D6" s="50">
        <v>450</v>
      </c>
      <c r="E6" s="50">
        <v>12</v>
      </c>
      <c r="F6" s="50">
        <v>45</v>
      </c>
      <c r="G6" s="51">
        <v>128</v>
      </c>
      <c r="H6" s="51">
        <v>6</v>
      </c>
    </row>
    <row r="7" spans="2:9" ht="19.95" customHeight="1" x14ac:dyDescent="0.3"/>
    <row r="8" spans="2:9" ht="19.95" customHeight="1" x14ac:dyDescent="0.3"/>
    <row r="9" spans="2:9" ht="19.95" customHeight="1" x14ac:dyDescent="0.3">
      <c r="B9" s="46" t="s">
        <v>125</v>
      </c>
      <c r="C9" s="46" t="s">
        <v>147</v>
      </c>
      <c r="D9" s="46" t="s">
        <v>148</v>
      </c>
      <c r="F9" s="46" t="s">
        <v>73</v>
      </c>
      <c r="G9" s="46" t="s">
        <v>147</v>
      </c>
      <c r="H9" s="46" t="s">
        <v>120</v>
      </c>
    </row>
    <row r="10" spans="2:9" ht="19.95" customHeight="1" x14ac:dyDescent="0.3">
      <c r="B10" s="27" t="s">
        <v>24</v>
      </c>
      <c r="C10" s="52">
        <v>4</v>
      </c>
      <c r="D10" s="47">
        <v>0.67</v>
      </c>
      <c r="F10" s="27" t="s">
        <v>83</v>
      </c>
      <c r="G10" s="52">
        <v>4</v>
      </c>
      <c r="H10" s="52">
        <v>7</v>
      </c>
    </row>
    <row r="11" spans="2:9" ht="19.95" customHeight="1" x14ac:dyDescent="0.3">
      <c r="B11" s="27" t="s">
        <v>42</v>
      </c>
      <c r="C11" s="52">
        <v>2</v>
      </c>
      <c r="D11" s="47">
        <v>0.33</v>
      </c>
      <c r="F11" s="27" t="s">
        <v>24</v>
      </c>
      <c r="G11" s="52">
        <v>2</v>
      </c>
      <c r="H11" s="52">
        <v>30</v>
      </c>
    </row>
    <row r="12" spans="2:9" ht="19.95" customHeight="1" x14ac:dyDescent="0.3">
      <c r="B12" s="27" t="s">
        <v>129</v>
      </c>
      <c r="C12" s="52">
        <f>COUNTIF([1]Exception_Register!$G$5:$G$10,B12)</f>
        <v>0</v>
      </c>
      <c r="D12" s="47">
        <v>0</v>
      </c>
      <c r="F12" s="27" t="s">
        <v>42</v>
      </c>
      <c r="G12" s="52">
        <v>0</v>
      </c>
      <c r="H12" s="52">
        <v>60</v>
      </c>
    </row>
    <row r="13" spans="2:9" ht="19.95" customHeight="1" x14ac:dyDescent="0.3">
      <c r="B13" s="32" t="s">
        <v>66</v>
      </c>
      <c r="C13" s="33">
        <f>SUM(C10:C12)</f>
        <v>6</v>
      </c>
      <c r="D13" s="48">
        <f>SUM(D10:D12)</f>
        <v>1</v>
      </c>
      <c r="F13" s="32" t="s">
        <v>66</v>
      </c>
      <c r="G13" s="33">
        <v>6</v>
      </c>
      <c r="H13" s="32"/>
    </row>
    <row r="14" spans="2:9" ht="19.95" customHeight="1" x14ac:dyDescent="0.3"/>
    <row r="15" spans="2:9" ht="19.95" customHeight="1" x14ac:dyDescent="0.3"/>
    <row r="16" spans="2:9" ht="19.95" customHeight="1" x14ac:dyDescent="0.3">
      <c r="B16" s="46" t="s">
        <v>70</v>
      </c>
      <c r="C16" s="46" t="s">
        <v>2</v>
      </c>
      <c r="D16" s="46" t="s">
        <v>10</v>
      </c>
      <c r="E16" s="46" t="s">
        <v>149</v>
      </c>
      <c r="F16" s="46" t="s">
        <v>11</v>
      </c>
      <c r="G16" s="46" t="s">
        <v>13</v>
      </c>
      <c r="H16" s="46" t="s">
        <v>150</v>
      </c>
      <c r="I16" s="46" t="s">
        <v>151</v>
      </c>
    </row>
    <row r="17" spans="2:9" ht="19.95" customHeight="1" x14ac:dyDescent="0.3">
      <c r="B17" s="52" t="s">
        <v>16</v>
      </c>
      <c r="C17" s="53" t="s">
        <v>17</v>
      </c>
      <c r="D17" s="52">
        <v>6</v>
      </c>
      <c r="E17" s="54">
        <v>260</v>
      </c>
      <c r="F17" s="55">
        <v>2.3076923076923078E-2</v>
      </c>
      <c r="G17" s="52" t="s">
        <v>24</v>
      </c>
      <c r="H17" s="28" t="str">
        <f t="shared" ref="H17:H22" si="0">IF(D17=0,"Pass",IF(G17="High","Fail / remediate","Review / remediate"))</f>
        <v>Fail / remediate</v>
      </c>
      <c r="I17" s="29" t="s">
        <v>152</v>
      </c>
    </row>
    <row r="18" spans="2:9" ht="19.95" customHeight="1" x14ac:dyDescent="0.3">
      <c r="B18" s="52" t="s">
        <v>27</v>
      </c>
      <c r="C18" s="53" t="s">
        <v>28</v>
      </c>
      <c r="D18" s="52">
        <v>14</v>
      </c>
      <c r="E18" s="54">
        <v>450</v>
      </c>
      <c r="F18" s="55">
        <v>3.111111111111111E-2</v>
      </c>
      <c r="G18" s="52" t="s">
        <v>24</v>
      </c>
      <c r="H18" s="28" t="str">
        <f t="shared" si="0"/>
        <v>Fail / remediate</v>
      </c>
      <c r="I18" s="29" t="s">
        <v>153</v>
      </c>
    </row>
    <row r="19" spans="2:9" ht="19.95" customHeight="1" x14ac:dyDescent="0.3">
      <c r="B19" s="52" t="s">
        <v>35</v>
      </c>
      <c r="C19" s="53" t="s">
        <v>36</v>
      </c>
      <c r="D19" s="52">
        <v>46</v>
      </c>
      <c r="E19" s="54">
        <v>450</v>
      </c>
      <c r="F19" s="55">
        <v>0.10222222222222223</v>
      </c>
      <c r="G19" s="52" t="s">
        <v>42</v>
      </c>
      <c r="H19" s="28" t="str">
        <f t="shared" si="0"/>
        <v>Review / remediate</v>
      </c>
      <c r="I19" s="29" t="s">
        <v>154</v>
      </c>
    </row>
    <row r="20" spans="2:9" ht="19.95" customHeight="1" x14ac:dyDescent="0.3">
      <c r="B20" s="52" t="s">
        <v>44</v>
      </c>
      <c r="C20" s="53" t="s">
        <v>45</v>
      </c>
      <c r="D20" s="52">
        <v>30</v>
      </c>
      <c r="E20" s="54">
        <v>450</v>
      </c>
      <c r="F20" s="55">
        <v>6.6666666666666666E-2</v>
      </c>
      <c r="G20" s="52" t="s">
        <v>24</v>
      </c>
      <c r="H20" s="28" t="str">
        <f t="shared" si="0"/>
        <v>Fail / remediate</v>
      </c>
      <c r="I20" s="29" t="s">
        <v>155</v>
      </c>
    </row>
    <row r="21" spans="2:9" ht="19.95" customHeight="1" x14ac:dyDescent="0.3">
      <c r="B21" s="52" t="s">
        <v>51</v>
      </c>
      <c r="C21" s="53" t="s">
        <v>52</v>
      </c>
      <c r="D21" s="52">
        <v>6</v>
      </c>
      <c r="E21" s="54">
        <v>260</v>
      </c>
      <c r="F21" s="55">
        <v>2.3076923076923078E-2</v>
      </c>
      <c r="G21" s="52" t="s">
        <v>42</v>
      </c>
      <c r="H21" s="28" t="str">
        <f t="shared" si="0"/>
        <v>Review / remediate</v>
      </c>
      <c r="I21" s="29" t="s">
        <v>156</v>
      </c>
    </row>
    <row r="22" spans="2:9" ht="19.95" customHeight="1" x14ac:dyDescent="0.3">
      <c r="B22" s="52" t="s">
        <v>59</v>
      </c>
      <c r="C22" s="53" t="s">
        <v>60</v>
      </c>
      <c r="D22" s="52">
        <v>26</v>
      </c>
      <c r="E22" s="54">
        <v>260</v>
      </c>
      <c r="F22" s="55">
        <v>0.1</v>
      </c>
      <c r="G22" s="52" t="s">
        <v>24</v>
      </c>
      <c r="H22" s="28" t="str">
        <f t="shared" si="0"/>
        <v>Fail / remediate</v>
      </c>
      <c r="I22" s="29" t="s">
        <v>157</v>
      </c>
    </row>
    <row r="23" spans="2:9" ht="19.95" customHeight="1" x14ac:dyDescent="0.3">
      <c r="B23" s="32" t="s">
        <v>66</v>
      </c>
      <c r="C23" s="32"/>
      <c r="D23" s="33">
        <f>SUM(D17:D22)</f>
        <v>128</v>
      </c>
      <c r="E23" s="32"/>
      <c r="F23" s="32"/>
      <c r="G23" s="32"/>
      <c r="H23" s="32"/>
      <c r="I23" s="32"/>
    </row>
    <row r="24" spans="2:9" ht="19.95" customHeight="1" x14ac:dyDescent="0.3"/>
    <row r="25" spans="2:9" ht="19.95" customHeight="1" x14ac:dyDescent="0.3"/>
    <row r="26" spans="2:9" ht="19.95" customHeight="1" x14ac:dyDescent="0.3">
      <c r="B26" s="46" t="s">
        <v>158</v>
      </c>
      <c r="C26" s="46" t="s">
        <v>159</v>
      </c>
    </row>
    <row r="27" spans="2:9" ht="19.95" customHeight="1" x14ac:dyDescent="0.3">
      <c r="B27" s="29" t="s">
        <v>160</v>
      </c>
      <c r="C27" s="28" t="s">
        <v>286</v>
      </c>
    </row>
    <row r="28" spans="2:9" ht="19.95" customHeight="1" x14ac:dyDescent="0.3">
      <c r="B28" s="29" t="s">
        <v>161</v>
      </c>
      <c r="C28" s="28" t="s">
        <v>286</v>
      </c>
    </row>
    <row r="29" spans="2:9" ht="19.95" customHeight="1" x14ac:dyDescent="0.3">
      <c r="B29" s="29" t="s">
        <v>162</v>
      </c>
      <c r="C29" s="28" t="s">
        <v>286</v>
      </c>
    </row>
    <row r="30" spans="2:9" ht="19.95" customHeight="1" x14ac:dyDescent="0.3">
      <c r="B30" s="29" t="s">
        <v>163</v>
      </c>
      <c r="C30" s="28" t="s">
        <v>286</v>
      </c>
    </row>
    <row r="31" spans="2:9" ht="19.95" customHeight="1" x14ac:dyDescent="0.3">
      <c r="B31" s="29" t="s">
        <v>164</v>
      </c>
      <c r="C31" s="28" t="s">
        <v>287</v>
      </c>
    </row>
  </sheetData>
  <conditionalFormatting sqref="B10:B12">
    <cfRule type="cellIs" dxfId="13" priority="4" operator="equal">
      <formula>"High"</formula>
    </cfRule>
    <cfRule type="cellIs" dxfId="12" priority="5" operator="equal">
      <formula>"Medium"</formula>
    </cfRule>
    <cfRule type="cellIs" dxfId="11" priority="6" operator="equal">
      <formula>"Low"</formula>
    </cfRule>
  </conditionalFormatting>
  <conditionalFormatting sqref="C27:C30">
    <cfRule type="cellIs" dxfId="10" priority="7" operator="equal">
      <formula>"OK"</formula>
    </cfRule>
    <cfRule type="cellIs" dxfId="9" priority="8" operator="equal">
      <formula>"CHECK"</formula>
    </cfRule>
  </conditionalFormatting>
  <conditionalFormatting sqref="G17:G22">
    <cfRule type="cellIs" dxfId="8" priority="1" operator="equal">
      <formula>"High"</formula>
    </cfRule>
    <cfRule type="cellIs" dxfId="7" priority="2" operator="equal">
      <formula>"Medium"</formula>
    </cfRule>
    <cfRule type="cellIs" dxfId="6" priority="3" operator="equal">
      <formula>"Low"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EA8A-B6A9-4E39-9372-F97F6A62C9B7}">
  <dimension ref="B2:D30"/>
  <sheetViews>
    <sheetView showGridLines="0" tabSelected="1" workbookViewId="0">
      <selection activeCell="C5" sqref="C5"/>
    </sheetView>
  </sheetViews>
  <sheetFormatPr defaultRowHeight="14.4" x14ac:dyDescent="0.3"/>
  <cols>
    <col min="2" max="2" width="34.21875" customWidth="1"/>
    <col min="3" max="3" width="12.33203125" bestFit="1" customWidth="1"/>
    <col min="4" max="4" width="104.6640625" bestFit="1" customWidth="1"/>
  </cols>
  <sheetData>
    <row r="2" spans="2:4" ht="19.95" customHeight="1" x14ac:dyDescent="0.3">
      <c r="B2" s="42" t="s">
        <v>109</v>
      </c>
    </row>
    <row r="3" spans="2:4" ht="19.95" customHeight="1" x14ac:dyDescent="0.3">
      <c r="B3" s="34"/>
    </row>
    <row r="4" spans="2:4" ht="19.95" customHeight="1" x14ac:dyDescent="0.3">
      <c r="B4" s="35" t="s">
        <v>110</v>
      </c>
      <c r="C4" s="35" t="s">
        <v>111</v>
      </c>
      <c r="D4" s="35" t="s">
        <v>112</v>
      </c>
    </row>
    <row r="5" spans="2:4" ht="19.95" customHeight="1" x14ac:dyDescent="0.3">
      <c r="B5" s="27" t="s">
        <v>113</v>
      </c>
      <c r="C5" s="60">
        <v>46323</v>
      </c>
      <c r="D5" s="29" t="s">
        <v>114</v>
      </c>
    </row>
    <row r="6" spans="2:4" ht="19.95" customHeight="1" x14ac:dyDescent="0.3">
      <c r="B6" s="27" t="s">
        <v>115</v>
      </c>
      <c r="C6" s="59">
        <v>200</v>
      </c>
      <c r="D6" s="29" t="s">
        <v>116</v>
      </c>
    </row>
    <row r="7" spans="2:4" ht="19.95" customHeight="1" x14ac:dyDescent="0.3">
      <c r="B7" s="27" t="s">
        <v>57</v>
      </c>
      <c r="C7" s="59">
        <v>260</v>
      </c>
      <c r="D7" s="29" t="s">
        <v>117</v>
      </c>
    </row>
    <row r="8" spans="2:4" ht="19.95" customHeight="1" x14ac:dyDescent="0.3">
      <c r="B8" s="27" t="s">
        <v>41</v>
      </c>
      <c r="C8" s="59">
        <v>450</v>
      </c>
      <c r="D8" s="29" t="s">
        <v>117</v>
      </c>
    </row>
    <row r="9" spans="2:4" ht="19.95" customHeight="1" x14ac:dyDescent="0.3">
      <c r="B9" s="27" t="s">
        <v>118</v>
      </c>
      <c r="C9" s="59">
        <v>12</v>
      </c>
      <c r="D9" s="29" t="s">
        <v>117</v>
      </c>
    </row>
    <row r="10" spans="2:4" ht="19.95" customHeight="1" x14ac:dyDescent="0.3">
      <c r="B10" s="27" t="s">
        <v>119</v>
      </c>
      <c r="C10" s="59">
        <v>45</v>
      </c>
      <c r="D10" s="29" t="s">
        <v>117</v>
      </c>
    </row>
    <row r="11" spans="2:4" ht="19.95" customHeight="1" x14ac:dyDescent="0.3"/>
    <row r="12" spans="2:4" ht="19.95" customHeight="1" x14ac:dyDescent="0.3">
      <c r="B12" s="35" t="s">
        <v>73</v>
      </c>
      <c r="C12" s="35" t="s">
        <v>120</v>
      </c>
      <c r="D12" s="35" t="s">
        <v>121</v>
      </c>
    </row>
    <row r="13" spans="2:4" ht="19.95" customHeight="1" x14ac:dyDescent="0.3">
      <c r="B13" s="27" t="s">
        <v>83</v>
      </c>
      <c r="C13" s="61">
        <v>7</v>
      </c>
      <c r="D13" s="29" t="s">
        <v>122</v>
      </c>
    </row>
    <row r="14" spans="2:4" ht="19.95" customHeight="1" x14ac:dyDescent="0.3">
      <c r="B14" s="27" t="s">
        <v>24</v>
      </c>
      <c r="C14" s="61">
        <v>30</v>
      </c>
      <c r="D14" s="29" t="s">
        <v>123</v>
      </c>
    </row>
    <row r="15" spans="2:4" ht="19.95" customHeight="1" x14ac:dyDescent="0.3">
      <c r="B15" s="27" t="s">
        <v>42</v>
      </c>
      <c r="C15" s="61">
        <v>60</v>
      </c>
      <c r="D15" s="29" t="s">
        <v>124</v>
      </c>
    </row>
    <row r="16" spans="2:4" ht="19.95" customHeight="1" x14ac:dyDescent="0.3"/>
    <row r="17" spans="2:4" ht="19.95" customHeight="1" x14ac:dyDescent="0.3">
      <c r="B17" s="35" t="s">
        <v>125</v>
      </c>
      <c r="C17" s="35"/>
      <c r="D17" s="35" t="s">
        <v>126</v>
      </c>
    </row>
    <row r="18" spans="2:4" ht="19.95" customHeight="1" x14ac:dyDescent="0.3">
      <c r="B18" s="27" t="s">
        <v>24</v>
      </c>
      <c r="C18" s="29"/>
      <c r="D18" s="29" t="s">
        <v>127</v>
      </c>
    </row>
    <row r="19" spans="2:4" ht="19.95" customHeight="1" x14ac:dyDescent="0.3">
      <c r="B19" s="27" t="s">
        <v>42</v>
      </c>
      <c r="C19" s="29"/>
      <c r="D19" s="29" t="s">
        <v>128</v>
      </c>
    </row>
    <row r="20" spans="2:4" ht="19.95" customHeight="1" x14ac:dyDescent="0.3">
      <c r="B20" s="27" t="s">
        <v>129</v>
      </c>
      <c r="C20" s="29"/>
      <c r="D20" s="29" t="s">
        <v>130</v>
      </c>
    </row>
    <row r="21" spans="2:4" ht="19.95" customHeight="1" x14ac:dyDescent="0.3"/>
    <row r="22" spans="2:4" ht="19.95" customHeight="1" x14ac:dyDescent="0.3">
      <c r="B22" s="44" t="s">
        <v>131</v>
      </c>
    </row>
    <row r="23" spans="2:4" ht="19.95" customHeight="1" x14ac:dyDescent="0.3">
      <c r="B23" s="45" t="s">
        <v>132</v>
      </c>
    </row>
    <row r="24" spans="2:4" ht="19.95" customHeight="1" x14ac:dyDescent="0.3">
      <c r="B24" s="45" t="s">
        <v>133</v>
      </c>
    </row>
    <row r="25" spans="2:4" ht="19.95" customHeight="1" x14ac:dyDescent="0.3">
      <c r="B25" s="45" t="s">
        <v>134</v>
      </c>
    </row>
    <row r="26" spans="2:4" ht="19.95" customHeight="1" x14ac:dyDescent="0.3">
      <c r="B26" s="45" t="s">
        <v>135</v>
      </c>
    </row>
    <row r="27" spans="2:4" ht="19.95" customHeight="1" x14ac:dyDescent="0.3">
      <c r="B27" s="45" t="s">
        <v>136</v>
      </c>
    </row>
    <row r="28" spans="2:4" ht="19.95" customHeight="1" x14ac:dyDescent="0.3">
      <c r="B28" s="45" t="s">
        <v>137</v>
      </c>
    </row>
    <row r="29" spans="2:4" ht="19.95" customHeight="1" x14ac:dyDescent="0.3">
      <c r="B29" s="45" t="s">
        <v>138</v>
      </c>
    </row>
    <row r="30" spans="2:4" ht="19.95" customHeight="1" x14ac:dyDescent="0.3">
      <c r="B30" s="4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Control_Matrix</vt:lpstr>
      <vt:lpstr>Exception_Register</vt:lpstr>
      <vt:lpstr>Exception_Detail</vt:lpstr>
      <vt:lpstr>Management_Summary</vt:lpstr>
      <vt:lpstr>Notes_Legend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NIGANTH S</dc:creator>
  <cp:lastModifiedBy>NIGANTH S</cp:lastModifiedBy>
  <dcterms:created xsi:type="dcterms:W3CDTF">2026-10-28T13:45:39Z</dcterms:created>
  <dcterms:modified xsi:type="dcterms:W3CDTF">2026-10-28T16:00:16Z</dcterms:modified>
</cp:coreProperties>
</file>